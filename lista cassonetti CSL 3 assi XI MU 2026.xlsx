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a-nas01\14\AREA-OVEST-PM\Contenitori\Cassonetti\Riprorammazione giri 2 assi 2026\"/>
    </mc:Choice>
  </mc:AlternateContent>
  <xr:revisionPtr revIDLastSave="0" documentId="13_ncr:1_{2D780206-87B7-4018-9D11-78ED93D03E60}" xr6:coauthVersionLast="47" xr6:coauthVersionMax="47" xr10:uidLastSave="{00000000-0000-0000-0000-000000000000}"/>
  <bookViews>
    <workbookView xWindow="2460" yWindow="1140" windowWidth="28800" windowHeight="15345" xr2:uid="{00000000-000D-0000-FFFF-FFFF00000000}"/>
  </bookViews>
  <sheets>
    <sheet name="Data" sheetId="3" r:id="rId1"/>
    <sheet name="Foglio1" sheetId="2" r:id="rId2"/>
  </sheets>
  <externalReferences>
    <externalReference r:id="rId3"/>
    <externalReference r:id="rId4"/>
  </externalReferences>
  <definedNames>
    <definedName name="_xlnm._FilterDatabase" localSheetId="0" hidden="1">Data!$C$1:$H$583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2" i="3"/>
  <c r="A2" i="3" a="1"/>
  <c r="C583" i="3" l="1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A2" i="3"/>
  <c r="D583" i="3" l="1"/>
  <c r="E583" i="3" s="1"/>
  <c r="F583" i="3"/>
  <c r="D582" i="3"/>
  <c r="E582" i="3" s="1"/>
  <c r="F582" i="3"/>
  <c r="D581" i="3"/>
  <c r="E581" i="3" s="1"/>
  <c r="F581" i="3"/>
  <c r="D580" i="3"/>
  <c r="E580" i="3" s="1"/>
  <c r="F580" i="3"/>
  <c r="D579" i="3"/>
  <c r="E579" i="3" s="1"/>
  <c r="F579" i="3"/>
  <c r="D578" i="3"/>
  <c r="E578" i="3" s="1"/>
  <c r="F578" i="3"/>
  <c r="D577" i="3"/>
  <c r="E577" i="3" s="1"/>
  <c r="F577" i="3"/>
  <c r="D576" i="3"/>
  <c r="E576" i="3" s="1"/>
  <c r="F576" i="3"/>
  <c r="D575" i="3"/>
  <c r="E575" i="3" s="1"/>
  <c r="F575" i="3"/>
  <c r="D574" i="3"/>
  <c r="E574" i="3" s="1"/>
  <c r="F574" i="3"/>
  <c r="D573" i="3"/>
  <c r="E573" i="3" s="1"/>
  <c r="F573" i="3"/>
  <c r="D572" i="3"/>
  <c r="E572" i="3" s="1"/>
  <c r="F572" i="3"/>
  <c r="D571" i="3"/>
  <c r="E571" i="3" s="1"/>
  <c r="F571" i="3"/>
  <c r="D570" i="3"/>
  <c r="E570" i="3" s="1"/>
  <c r="F570" i="3"/>
  <c r="D569" i="3"/>
  <c r="E569" i="3" s="1"/>
  <c r="F569" i="3"/>
  <c r="D568" i="3"/>
  <c r="E568" i="3" s="1"/>
  <c r="F568" i="3"/>
  <c r="D567" i="3"/>
  <c r="E567" i="3" s="1"/>
  <c r="F567" i="3"/>
  <c r="D566" i="3"/>
  <c r="E566" i="3" s="1"/>
  <c r="F566" i="3"/>
  <c r="D565" i="3"/>
  <c r="E565" i="3" s="1"/>
  <c r="F565" i="3"/>
  <c r="D564" i="3"/>
  <c r="E564" i="3" s="1"/>
  <c r="F564" i="3"/>
  <c r="D563" i="3"/>
  <c r="E563" i="3" s="1"/>
  <c r="F563" i="3"/>
  <c r="D562" i="3"/>
  <c r="E562" i="3" s="1"/>
  <c r="F562" i="3"/>
  <c r="D561" i="3"/>
  <c r="E561" i="3" s="1"/>
  <c r="F561" i="3"/>
  <c r="D560" i="3"/>
  <c r="E560" i="3" s="1"/>
  <c r="F560" i="3"/>
  <c r="D559" i="3"/>
  <c r="E559" i="3" s="1"/>
  <c r="F559" i="3"/>
  <c r="D558" i="3"/>
  <c r="E558" i="3" s="1"/>
  <c r="F558" i="3"/>
  <c r="D557" i="3"/>
  <c r="E557" i="3" s="1"/>
  <c r="F557" i="3"/>
  <c r="D556" i="3"/>
  <c r="E556" i="3" s="1"/>
  <c r="F556" i="3"/>
  <c r="D555" i="3"/>
  <c r="E555" i="3" s="1"/>
  <c r="F555" i="3"/>
  <c r="D554" i="3"/>
  <c r="E554" i="3" s="1"/>
  <c r="F554" i="3"/>
  <c r="D553" i="3"/>
  <c r="E553" i="3" s="1"/>
  <c r="F553" i="3"/>
  <c r="D552" i="3"/>
  <c r="E552" i="3" s="1"/>
  <c r="F552" i="3"/>
  <c r="D551" i="3"/>
  <c r="E551" i="3" s="1"/>
  <c r="F551" i="3"/>
  <c r="D550" i="3"/>
  <c r="E550" i="3" s="1"/>
  <c r="F550" i="3"/>
  <c r="D549" i="3"/>
  <c r="E549" i="3" s="1"/>
  <c r="F549" i="3"/>
  <c r="D548" i="3"/>
  <c r="E548" i="3" s="1"/>
  <c r="F548" i="3"/>
  <c r="D547" i="3"/>
  <c r="E547" i="3" s="1"/>
  <c r="F547" i="3"/>
  <c r="D546" i="3"/>
  <c r="E546" i="3" s="1"/>
  <c r="F546" i="3"/>
  <c r="D545" i="3"/>
  <c r="E545" i="3" s="1"/>
  <c r="F545" i="3"/>
  <c r="D544" i="3"/>
  <c r="E544" i="3" s="1"/>
  <c r="F544" i="3"/>
  <c r="D543" i="3"/>
  <c r="E543" i="3" s="1"/>
  <c r="F543" i="3"/>
  <c r="D542" i="3"/>
  <c r="E542" i="3" s="1"/>
  <c r="F542" i="3"/>
  <c r="D541" i="3"/>
  <c r="E541" i="3" s="1"/>
  <c r="F541" i="3"/>
  <c r="D540" i="3"/>
  <c r="E540" i="3" s="1"/>
  <c r="F540" i="3"/>
  <c r="D539" i="3"/>
  <c r="E539" i="3" s="1"/>
  <c r="F539" i="3"/>
  <c r="D538" i="3"/>
  <c r="E538" i="3" s="1"/>
  <c r="F538" i="3"/>
  <c r="D537" i="3"/>
  <c r="E537" i="3" s="1"/>
  <c r="F537" i="3"/>
  <c r="D536" i="3"/>
  <c r="E536" i="3" s="1"/>
  <c r="F536" i="3"/>
  <c r="D535" i="3"/>
  <c r="E535" i="3" s="1"/>
  <c r="F535" i="3"/>
  <c r="D534" i="3"/>
  <c r="E534" i="3" s="1"/>
  <c r="F534" i="3"/>
  <c r="D533" i="3"/>
  <c r="E533" i="3" s="1"/>
  <c r="F533" i="3"/>
  <c r="D532" i="3"/>
  <c r="E532" i="3" s="1"/>
  <c r="F532" i="3"/>
  <c r="D531" i="3"/>
  <c r="E531" i="3" s="1"/>
  <c r="F531" i="3"/>
  <c r="D530" i="3"/>
  <c r="E530" i="3" s="1"/>
  <c r="F530" i="3"/>
  <c r="D529" i="3"/>
  <c r="E529" i="3" s="1"/>
  <c r="F529" i="3"/>
  <c r="D528" i="3"/>
  <c r="E528" i="3" s="1"/>
  <c r="F528" i="3"/>
  <c r="D527" i="3"/>
  <c r="E527" i="3" s="1"/>
  <c r="F527" i="3"/>
  <c r="D526" i="3"/>
  <c r="E526" i="3" s="1"/>
  <c r="F526" i="3"/>
  <c r="D525" i="3"/>
  <c r="E525" i="3" s="1"/>
  <c r="F525" i="3"/>
  <c r="D524" i="3"/>
  <c r="E524" i="3" s="1"/>
  <c r="F524" i="3"/>
  <c r="D523" i="3"/>
  <c r="E523" i="3" s="1"/>
  <c r="F523" i="3"/>
  <c r="D522" i="3"/>
  <c r="E522" i="3" s="1"/>
  <c r="F522" i="3"/>
  <c r="D521" i="3"/>
  <c r="E521" i="3" s="1"/>
  <c r="F521" i="3"/>
  <c r="D520" i="3"/>
  <c r="E520" i="3" s="1"/>
  <c r="F520" i="3"/>
  <c r="D519" i="3"/>
  <c r="E519" i="3" s="1"/>
  <c r="F519" i="3"/>
  <c r="D518" i="3"/>
  <c r="E518" i="3" s="1"/>
  <c r="F518" i="3"/>
  <c r="D517" i="3"/>
  <c r="E517" i="3" s="1"/>
  <c r="F517" i="3"/>
  <c r="D516" i="3"/>
  <c r="E516" i="3" s="1"/>
  <c r="F516" i="3"/>
  <c r="D515" i="3"/>
  <c r="E515" i="3" s="1"/>
  <c r="F515" i="3"/>
  <c r="D514" i="3"/>
  <c r="E514" i="3" s="1"/>
  <c r="F514" i="3"/>
  <c r="D513" i="3"/>
  <c r="E513" i="3" s="1"/>
  <c r="F513" i="3"/>
  <c r="D512" i="3"/>
  <c r="E512" i="3" s="1"/>
  <c r="F512" i="3"/>
  <c r="D511" i="3"/>
  <c r="E511" i="3" s="1"/>
  <c r="F511" i="3"/>
  <c r="D510" i="3"/>
  <c r="E510" i="3" s="1"/>
  <c r="F510" i="3"/>
  <c r="D509" i="3"/>
  <c r="E509" i="3" s="1"/>
  <c r="F509" i="3"/>
  <c r="D508" i="3"/>
  <c r="E508" i="3" s="1"/>
  <c r="F508" i="3"/>
  <c r="D507" i="3"/>
  <c r="E507" i="3" s="1"/>
  <c r="F507" i="3"/>
  <c r="D506" i="3"/>
  <c r="E506" i="3" s="1"/>
  <c r="F506" i="3"/>
  <c r="D505" i="3"/>
  <c r="E505" i="3" s="1"/>
  <c r="F505" i="3"/>
  <c r="D504" i="3"/>
  <c r="E504" i="3" s="1"/>
  <c r="F504" i="3"/>
  <c r="D503" i="3"/>
  <c r="E503" i="3" s="1"/>
  <c r="F503" i="3"/>
  <c r="D502" i="3"/>
  <c r="E502" i="3" s="1"/>
  <c r="F502" i="3"/>
  <c r="D501" i="3"/>
  <c r="E501" i="3" s="1"/>
  <c r="F501" i="3"/>
  <c r="D500" i="3"/>
  <c r="E500" i="3" s="1"/>
  <c r="F500" i="3"/>
  <c r="D499" i="3"/>
  <c r="E499" i="3" s="1"/>
  <c r="F499" i="3"/>
  <c r="D498" i="3"/>
  <c r="E498" i="3" s="1"/>
  <c r="F498" i="3"/>
  <c r="D497" i="3"/>
  <c r="E497" i="3" s="1"/>
  <c r="F497" i="3"/>
  <c r="D496" i="3"/>
  <c r="E496" i="3" s="1"/>
  <c r="F496" i="3"/>
  <c r="D495" i="3"/>
  <c r="E495" i="3" s="1"/>
  <c r="F495" i="3"/>
  <c r="D494" i="3"/>
  <c r="E494" i="3" s="1"/>
  <c r="F494" i="3"/>
  <c r="D493" i="3"/>
  <c r="E493" i="3" s="1"/>
  <c r="F493" i="3"/>
  <c r="D492" i="3"/>
  <c r="E492" i="3" s="1"/>
  <c r="F492" i="3"/>
  <c r="D491" i="3"/>
  <c r="E491" i="3" s="1"/>
  <c r="F491" i="3"/>
  <c r="D490" i="3"/>
  <c r="E490" i="3" s="1"/>
  <c r="F490" i="3"/>
  <c r="D489" i="3"/>
  <c r="E489" i="3" s="1"/>
  <c r="F489" i="3"/>
  <c r="D488" i="3"/>
  <c r="E488" i="3" s="1"/>
  <c r="F488" i="3"/>
  <c r="D487" i="3"/>
  <c r="E487" i="3" s="1"/>
  <c r="F487" i="3"/>
  <c r="D486" i="3"/>
  <c r="E486" i="3" s="1"/>
  <c r="F486" i="3"/>
  <c r="D485" i="3"/>
  <c r="E485" i="3" s="1"/>
  <c r="F485" i="3"/>
  <c r="D484" i="3"/>
  <c r="E484" i="3" s="1"/>
  <c r="F484" i="3"/>
  <c r="D483" i="3"/>
  <c r="E483" i="3" s="1"/>
  <c r="F483" i="3"/>
  <c r="D482" i="3"/>
  <c r="E482" i="3" s="1"/>
  <c r="F482" i="3"/>
  <c r="D481" i="3"/>
  <c r="E481" i="3" s="1"/>
  <c r="F481" i="3"/>
  <c r="D480" i="3"/>
  <c r="E480" i="3" s="1"/>
  <c r="F480" i="3"/>
  <c r="D479" i="3"/>
  <c r="E479" i="3" s="1"/>
  <c r="F479" i="3"/>
  <c r="D478" i="3"/>
  <c r="E478" i="3" s="1"/>
  <c r="F478" i="3"/>
  <c r="D477" i="3"/>
  <c r="E477" i="3" s="1"/>
  <c r="F477" i="3"/>
  <c r="D476" i="3"/>
  <c r="E476" i="3" s="1"/>
  <c r="F476" i="3"/>
  <c r="D475" i="3"/>
  <c r="E475" i="3" s="1"/>
  <c r="F475" i="3"/>
  <c r="D474" i="3"/>
  <c r="E474" i="3" s="1"/>
  <c r="F474" i="3"/>
  <c r="D473" i="3"/>
  <c r="E473" i="3" s="1"/>
  <c r="F473" i="3"/>
  <c r="D472" i="3"/>
  <c r="E472" i="3" s="1"/>
  <c r="F472" i="3"/>
  <c r="D471" i="3"/>
  <c r="E471" i="3" s="1"/>
  <c r="F471" i="3"/>
  <c r="D470" i="3"/>
  <c r="E470" i="3" s="1"/>
  <c r="F470" i="3"/>
  <c r="D469" i="3"/>
  <c r="E469" i="3" s="1"/>
  <c r="F469" i="3"/>
  <c r="D468" i="3"/>
  <c r="E468" i="3" s="1"/>
  <c r="F468" i="3"/>
  <c r="D467" i="3"/>
  <c r="E467" i="3" s="1"/>
  <c r="F467" i="3"/>
  <c r="D466" i="3"/>
  <c r="E466" i="3" s="1"/>
  <c r="F466" i="3"/>
  <c r="D465" i="3"/>
  <c r="E465" i="3" s="1"/>
  <c r="F465" i="3"/>
  <c r="D464" i="3"/>
  <c r="E464" i="3" s="1"/>
  <c r="F464" i="3"/>
  <c r="D463" i="3"/>
  <c r="E463" i="3" s="1"/>
  <c r="F463" i="3"/>
  <c r="D462" i="3"/>
  <c r="E462" i="3" s="1"/>
  <c r="F462" i="3"/>
  <c r="D461" i="3"/>
  <c r="E461" i="3" s="1"/>
  <c r="F461" i="3"/>
  <c r="D460" i="3"/>
  <c r="E460" i="3" s="1"/>
  <c r="F460" i="3"/>
  <c r="D459" i="3"/>
  <c r="E459" i="3" s="1"/>
  <c r="F459" i="3"/>
  <c r="D458" i="3"/>
  <c r="E458" i="3" s="1"/>
  <c r="F458" i="3"/>
  <c r="D457" i="3"/>
  <c r="E457" i="3" s="1"/>
  <c r="F457" i="3"/>
  <c r="D456" i="3"/>
  <c r="E456" i="3" s="1"/>
  <c r="F456" i="3"/>
  <c r="D455" i="3"/>
  <c r="E455" i="3" s="1"/>
  <c r="F455" i="3"/>
  <c r="D454" i="3"/>
  <c r="E454" i="3" s="1"/>
  <c r="F454" i="3"/>
  <c r="D453" i="3"/>
  <c r="E453" i="3" s="1"/>
  <c r="F453" i="3"/>
  <c r="D452" i="3"/>
  <c r="E452" i="3" s="1"/>
  <c r="F452" i="3"/>
  <c r="D451" i="3"/>
  <c r="E451" i="3" s="1"/>
  <c r="F451" i="3"/>
  <c r="D450" i="3"/>
  <c r="E450" i="3" s="1"/>
  <c r="F450" i="3"/>
  <c r="D449" i="3"/>
  <c r="E449" i="3" s="1"/>
  <c r="F449" i="3"/>
  <c r="D448" i="3"/>
  <c r="E448" i="3" s="1"/>
  <c r="F448" i="3"/>
  <c r="D447" i="3"/>
  <c r="E447" i="3" s="1"/>
  <c r="F447" i="3"/>
  <c r="D446" i="3"/>
  <c r="E446" i="3" s="1"/>
  <c r="F446" i="3"/>
  <c r="D445" i="3"/>
  <c r="E445" i="3" s="1"/>
  <c r="F445" i="3"/>
  <c r="D444" i="3"/>
  <c r="E444" i="3" s="1"/>
  <c r="F444" i="3"/>
  <c r="D443" i="3"/>
  <c r="E443" i="3" s="1"/>
  <c r="F443" i="3"/>
  <c r="D442" i="3"/>
  <c r="E442" i="3" s="1"/>
  <c r="F442" i="3"/>
  <c r="D441" i="3"/>
  <c r="E441" i="3" s="1"/>
  <c r="F441" i="3"/>
  <c r="D440" i="3"/>
  <c r="E440" i="3" s="1"/>
  <c r="F440" i="3"/>
  <c r="D439" i="3"/>
  <c r="E439" i="3" s="1"/>
  <c r="F439" i="3"/>
  <c r="D438" i="3"/>
  <c r="E438" i="3" s="1"/>
  <c r="F438" i="3"/>
  <c r="D437" i="3"/>
  <c r="E437" i="3" s="1"/>
  <c r="F437" i="3"/>
  <c r="D436" i="3"/>
  <c r="E436" i="3" s="1"/>
  <c r="F436" i="3"/>
  <c r="D435" i="3"/>
  <c r="E435" i="3" s="1"/>
  <c r="F435" i="3"/>
  <c r="D434" i="3"/>
  <c r="E434" i="3" s="1"/>
  <c r="F434" i="3"/>
  <c r="D433" i="3"/>
  <c r="E433" i="3" s="1"/>
  <c r="F433" i="3"/>
  <c r="D432" i="3"/>
  <c r="E432" i="3" s="1"/>
  <c r="F432" i="3"/>
  <c r="D431" i="3"/>
  <c r="E431" i="3" s="1"/>
  <c r="F431" i="3"/>
  <c r="D430" i="3"/>
  <c r="E430" i="3" s="1"/>
  <c r="F430" i="3"/>
  <c r="D429" i="3"/>
  <c r="E429" i="3" s="1"/>
  <c r="F429" i="3"/>
  <c r="D428" i="3"/>
  <c r="E428" i="3" s="1"/>
  <c r="F428" i="3"/>
  <c r="D427" i="3"/>
  <c r="E427" i="3" s="1"/>
  <c r="F427" i="3"/>
  <c r="D426" i="3"/>
  <c r="E426" i="3" s="1"/>
  <c r="F426" i="3"/>
  <c r="D425" i="3"/>
  <c r="E425" i="3" s="1"/>
  <c r="F425" i="3"/>
  <c r="D424" i="3"/>
  <c r="E424" i="3" s="1"/>
  <c r="F424" i="3"/>
  <c r="D423" i="3"/>
  <c r="E423" i="3" s="1"/>
  <c r="F423" i="3"/>
  <c r="D422" i="3"/>
  <c r="E422" i="3" s="1"/>
  <c r="F422" i="3"/>
  <c r="D421" i="3"/>
  <c r="E421" i="3" s="1"/>
  <c r="F421" i="3"/>
  <c r="D420" i="3"/>
  <c r="E420" i="3" s="1"/>
  <c r="F420" i="3"/>
  <c r="D419" i="3"/>
  <c r="E419" i="3" s="1"/>
  <c r="F419" i="3"/>
  <c r="D418" i="3"/>
  <c r="E418" i="3" s="1"/>
  <c r="F418" i="3"/>
  <c r="D417" i="3"/>
  <c r="E417" i="3" s="1"/>
  <c r="F417" i="3"/>
  <c r="D416" i="3"/>
  <c r="E416" i="3" s="1"/>
  <c r="F416" i="3"/>
  <c r="D415" i="3"/>
  <c r="E415" i="3" s="1"/>
  <c r="F415" i="3"/>
  <c r="D414" i="3"/>
  <c r="E414" i="3" s="1"/>
  <c r="F414" i="3"/>
  <c r="D413" i="3"/>
  <c r="E413" i="3" s="1"/>
  <c r="F413" i="3"/>
  <c r="D412" i="3"/>
  <c r="E412" i="3" s="1"/>
  <c r="F412" i="3"/>
  <c r="D411" i="3"/>
  <c r="E411" i="3" s="1"/>
  <c r="F411" i="3"/>
  <c r="D410" i="3"/>
  <c r="E410" i="3" s="1"/>
  <c r="F410" i="3"/>
  <c r="D409" i="3"/>
  <c r="E409" i="3" s="1"/>
  <c r="F409" i="3"/>
  <c r="D408" i="3"/>
  <c r="E408" i="3" s="1"/>
  <c r="F408" i="3"/>
  <c r="D407" i="3"/>
  <c r="E407" i="3" s="1"/>
  <c r="F407" i="3"/>
  <c r="D406" i="3"/>
  <c r="E406" i="3" s="1"/>
  <c r="F406" i="3"/>
  <c r="D405" i="3"/>
  <c r="E405" i="3" s="1"/>
  <c r="F405" i="3"/>
  <c r="D404" i="3"/>
  <c r="E404" i="3" s="1"/>
  <c r="F404" i="3"/>
  <c r="D403" i="3"/>
  <c r="E403" i="3" s="1"/>
  <c r="F403" i="3"/>
  <c r="D402" i="3"/>
  <c r="E402" i="3" s="1"/>
  <c r="F402" i="3"/>
  <c r="D401" i="3"/>
  <c r="E401" i="3" s="1"/>
  <c r="F401" i="3"/>
  <c r="D400" i="3"/>
  <c r="E400" i="3" s="1"/>
  <c r="F400" i="3"/>
  <c r="D399" i="3"/>
  <c r="E399" i="3" s="1"/>
  <c r="F399" i="3"/>
  <c r="D398" i="3"/>
  <c r="E398" i="3" s="1"/>
  <c r="F398" i="3"/>
  <c r="D397" i="3"/>
  <c r="E397" i="3" s="1"/>
  <c r="F397" i="3"/>
  <c r="D396" i="3"/>
  <c r="E396" i="3" s="1"/>
  <c r="F396" i="3"/>
  <c r="D395" i="3"/>
  <c r="E395" i="3" s="1"/>
  <c r="F395" i="3"/>
  <c r="D394" i="3"/>
  <c r="E394" i="3" s="1"/>
  <c r="F394" i="3"/>
  <c r="D393" i="3"/>
  <c r="E393" i="3" s="1"/>
  <c r="F393" i="3"/>
  <c r="D392" i="3"/>
  <c r="E392" i="3" s="1"/>
  <c r="F392" i="3"/>
  <c r="D391" i="3"/>
  <c r="E391" i="3" s="1"/>
  <c r="F391" i="3"/>
  <c r="D390" i="3"/>
  <c r="E390" i="3" s="1"/>
  <c r="F390" i="3"/>
  <c r="D389" i="3"/>
  <c r="E389" i="3" s="1"/>
  <c r="F389" i="3"/>
  <c r="D388" i="3"/>
  <c r="E388" i="3" s="1"/>
  <c r="F388" i="3"/>
  <c r="D387" i="3"/>
  <c r="E387" i="3" s="1"/>
  <c r="F387" i="3"/>
  <c r="D386" i="3"/>
  <c r="E386" i="3" s="1"/>
  <c r="F386" i="3"/>
  <c r="D385" i="3"/>
  <c r="E385" i="3" s="1"/>
  <c r="F385" i="3"/>
  <c r="D384" i="3"/>
  <c r="E384" i="3" s="1"/>
  <c r="F384" i="3"/>
  <c r="D383" i="3"/>
  <c r="E383" i="3" s="1"/>
  <c r="F383" i="3"/>
  <c r="D382" i="3"/>
  <c r="E382" i="3" s="1"/>
  <c r="F382" i="3"/>
  <c r="D381" i="3"/>
  <c r="E381" i="3" s="1"/>
  <c r="F381" i="3"/>
  <c r="D380" i="3"/>
  <c r="E380" i="3" s="1"/>
  <c r="F380" i="3"/>
  <c r="D379" i="3"/>
  <c r="E379" i="3" s="1"/>
  <c r="F379" i="3"/>
  <c r="D378" i="3"/>
  <c r="E378" i="3" s="1"/>
  <c r="F378" i="3"/>
  <c r="D377" i="3"/>
  <c r="E377" i="3" s="1"/>
  <c r="F377" i="3"/>
  <c r="D376" i="3"/>
  <c r="E376" i="3" s="1"/>
  <c r="F376" i="3"/>
  <c r="D375" i="3"/>
  <c r="E375" i="3" s="1"/>
  <c r="F375" i="3"/>
  <c r="D374" i="3"/>
  <c r="E374" i="3" s="1"/>
  <c r="F374" i="3"/>
  <c r="D373" i="3"/>
  <c r="E373" i="3" s="1"/>
  <c r="F373" i="3"/>
  <c r="D372" i="3"/>
  <c r="E372" i="3" s="1"/>
  <c r="F372" i="3"/>
  <c r="D371" i="3"/>
  <c r="E371" i="3" s="1"/>
  <c r="F371" i="3"/>
  <c r="D370" i="3"/>
  <c r="E370" i="3" s="1"/>
  <c r="F370" i="3"/>
  <c r="D369" i="3"/>
  <c r="E369" i="3" s="1"/>
  <c r="F369" i="3"/>
  <c r="D368" i="3"/>
  <c r="E368" i="3" s="1"/>
  <c r="F368" i="3"/>
  <c r="D367" i="3"/>
  <c r="E367" i="3" s="1"/>
  <c r="F367" i="3"/>
  <c r="D366" i="3"/>
  <c r="E366" i="3" s="1"/>
  <c r="F366" i="3"/>
  <c r="D365" i="3"/>
  <c r="E365" i="3" s="1"/>
  <c r="F365" i="3"/>
  <c r="D364" i="3"/>
  <c r="E364" i="3" s="1"/>
  <c r="F364" i="3"/>
  <c r="D363" i="3"/>
  <c r="E363" i="3" s="1"/>
  <c r="F363" i="3"/>
  <c r="D362" i="3"/>
  <c r="E362" i="3" s="1"/>
  <c r="F362" i="3"/>
  <c r="D361" i="3"/>
  <c r="E361" i="3" s="1"/>
  <c r="F361" i="3"/>
  <c r="D360" i="3"/>
  <c r="E360" i="3" s="1"/>
  <c r="F360" i="3"/>
  <c r="D359" i="3"/>
  <c r="E359" i="3" s="1"/>
  <c r="F359" i="3"/>
  <c r="D358" i="3"/>
  <c r="E358" i="3" s="1"/>
  <c r="F358" i="3"/>
  <c r="D357" i="3"/>
  <c r="E357" i="3" s="1"/>
  <c r="F357" i="3"/>
  <c r="D356" i="3"/>
  <c r="E356" i="3" s="1"/>
  <c r="F356" i="3"/>
  <c r="D355" i="3"/>
  <c r="E355" i="3" s="1"/>
  <c r="F355" i="3"/>
  <c r="D354" i="3"/>
  <c r="E354" i="3" s="1"/>
  <c r="F354" i="3"/>
  <c r="D353" i="3"/>
  <c r="E353" i="3" s="1"/>
  <c r="F353" i="3"/>
  <c r="D352" i="3"/>
  <c r="E352" i="3" s="1"/>
  <c r="F352" i="3"/>
  <c r="D351" i="3"/>
  <c r="E351" i="3" s="1"/>
  <c r="F351" i="3"/>
  <c r="D350" i="3"/>
  <c r="E350" i="3" s="1"/>
  <c r="F350" i="3"/>
  <c r="D349" i="3"/>
  <c r="E349" i="3" s="1"/>
  <c r="F349" i="3"/>
  <c r="D348" i="3"/>
  <c r="E348" i="3" s="1"/>
  <c r="F348" i="3"/>
  <c r="D347" i="3"/>
  <c r="E347" i="3" s="1"/>
  <c r="F347" i="3"/>
  <c r="D346" i="3"/>
  <c r="E346" i="3" s="1"/>
  <c r="F346" i="3"/>
  <c r="D345" i="3"/>
  <c r="E345" i="3" s="1"/>
  <c r="F345" i="3"/>
  <c r="D344" i="3"/>
  <c r="E344" i="3" s="1"/>
  <c r="F344" i="3"/>
  <c r="D343" i="3"/>
  <c r="E343" i="3" s="1"/>
  <c r="F343" i="3"/>
  <c r="D342" i="3"/>
  <c r="E342" i="3" s="1"/>
  <c r="F342" i="3"/>
  <c r="D341" i="3"/>
  <c r="E341" i="3" s="1"/>
  <c r="F341" i="3"/>
  <c r="D340" i="3"/>
  <c r="E340" i="3" s="1"/>
  <c r="F340" i="3"/>
  <c r="D339" i="3"/>
  <c r="E339" i="3" s="1"/>
  <c r="F339" i="3"/>
  <c r="D338" i="3"/>
  <c r="E338" i="3" s="1"/>
  <c r="F338" i="3"/>
  <c r="D337" i="3"/>
  <c r="E337" i="3" s="1"/>
  <c r="F337" i="3"/>
  <c r="D336" i="3"/>
  <c r="E336" i="3" s="1"/>
  <c r="F336" i="3"/>
  <c r="D335" i="3"/>
  <c r="E335" i="3" s="1"/>
  <c r="F335" i="3"/>
  <c r="D334" i="3"/>
  <c r="E334" i="3" s="1"/>
  <c r="F334" i="3"/>
  <c r="D333" i="3"/>
  <c r="E333" i="3" s="1"/>
  <c r="F333" i="3"/>
  <c r="D332" i="3"/>
  <c r="E332" i="3" s="1"/>
  <c r="F332" i="3"/>
  <c r="D331" i="3"/>
  <c r="E331" i="3" s="1"/>
  <c r="F331" i="3"/>
  <c r="D330" i="3"/>
  <c r="E330" i="3" s="1"/>
  <c r="F330" i="3"/>
  <c r="D329" i="3"/>
  <c r="E329" i="3" s="1"/>
  <c r="F329" i="3"/>
  <c r="D328" i="3"/>
  <c r="E328" i="3" s="1"/>
  <c r="F328" i="3"/>
  <c r="D327" i="3"/>
  <c r="E327" i="3" s="1"/>
  <c r="F327" i="3"/>
  <c r="D326" i="3"/>
  <c r="E326" i="3" s="1"/>
  <c r="F326" i="3"/>
  <c r="D325" i="3"/>
  <c r="E325" i="3" s="1"/>
  <c r="F325" i="3"/>
  <c r="D324" i="3"/>
  <c r="E324" i="3" s="1"/>
  <c r="F324" i="3"/>
  <c r="D323" i="3"/>
  <c r="E323" i="3" s="1"/>
  <c r="F323" i="3"/>
  <c r="D322" i="3"/>
  <c r="E322" i="3" s="1"/>
  <c r="F322" i="3"/>
  <c r="D321" i="3"/>
  <c r="E321" i="3" s="1"/>
  <c r="F321" i="3"/>
  <c r="D320" i="3"/>
  <c r="E320" i="3" s="1"/>
  <c r="F320" i="3"/>
  <c r="D319" i="3"/>
  <c r="E319" i="3" s="1"/>
  <c r="F319" i="3"/>
  <c r="D318" i="3"/>
  <c r="E318" i="3" s="1"/>
  <c r="F318" i="3"/>
  <c r="D317" i="3"/>
  <c r="E317" i="3" s="1"/>
  <c r="F317" i="3"/>
  <c r="D316" i="3"/>
  <c r="E316" i="3" s="1"/>
  <c r="F316" i="3"/>
  <c r="D315" i="3"/>
  <c r="E315" i="3" s="1"/>
  <c r="F315" i="3"/>
  <c r="D314" i="3"/>
  <c r="E314" i="3" s="1"/>
  <c r="F314" i="3"/>
  <c r="D313" i="3"/>
  <c r="E313" i="3" s="1"/>
  <c r="F313" i="3"/>
  <c r="D312" i="3"/>
  <c r="E312" i="3" s="1"/>
  <c r="F312" i="3"/>
  <c r="D311" i="3"/>
  <c r="E311" i="3" s="1"/>
  <c r="F311" i="3"/>
  <c r="D310" i="3"/>
  <c r="E310" i="3" s="1"/>
  <c r="F310" i="3"/>
  <c r="D309" i="3"/>
  <c r="E309" i="3" s="1"/>
  <c r="F309" i="3"/>
  <c r="D308" i="3"/>
  <c r="E308" i="3" s="1"/>
  <c r="F308" i="3"/>
  <c r="D307" i="3"/>
  <c r="E307" i="3" s="1"/>
  <c r="F307" i="3"/>
  <c r="D306" i="3"/>
  <c r="E306" i="3" s="1"/>
  <c r="F306" i="3"/>
  <c r="D305" i="3"/>
  <c r="E305" i="3" s="1"/>
  <c r="F305" i="3"/>
  <c r="D304" i="3"/>
  <c r="E304" i="3" s="1"/>
  <c r="F304" i="3"/>
  <c r="D303" i="3"/>
  <c r="E303" i="3" s="1"/>
  <c r="F303" i="3"/>
  <c r="D302" i="3"/>
  <c r="E302" i="3" s="1"/>
  <c r="F302" i="3"/>
  <c r="D301" i="3"/>
  <c r="E301" i="3" s="1"/>
  <c r="F301" i="3"/>
  <c r="D300" i="3"/>
  <c r="E300" i="3" s="1"/>
  <c r="F300" i="3"/>
  <c r="D299" i="3"/>
  <c r="E299" i="3" s="1"/>
  <c r="F299" i="3"/>
  <c r="D298" i="3"/>
  <c r="E298" i="3" s="1"/>
  <c r="F298" i="3"/>
  <c r="D297" i="3"/>
  <c r="E297" i="3" s="1"/>
  <c r="F297" i="3"/>
  <c r="D296" i="3"/>
  <c r="E296" i="3" s="1"/>
  <c r="F296" i="3"/>
  <c r="D295" i="3"/>
  <c r="E295" i="3" s="1"/>
  <c r="F295" i="3"/>
  <c r="D294" i="3"/>
  <c r="E294" i="3" s="1"/>
  <c r="F294" i="3"/>
  <c r="D293" i="3"/>
  <c r="E293" i="3" s="1"/>
  <c r="F293" i="3"/>
  <c r="D292" i="3"/>
  <c r="E292" i="3" s="1"/>
  <c r="F292" i="3"/>
  <c r="D291" i="3"/>
  <c r="E291" i="3" s="1"/>
  <c r="F291" i="3"/>
  <c r="D290" i="3"/>
  <c r="E290" i="3" s="1"/>
  <c r="F290" i="3"/>
  <c r="D289" i="3"/>
  <c r="E289" i="3" s="1"/>
  <c r="F289" i="3"/>
  <c r="D288" i="3"/>
  <c r="E288" i="3" s="1"/>
  <c r="F288" i="3"/>
  <c r="D287" i="3"/>
  <c r="E287" i="3" s="1"/>
  <c r="F287" i="3"/>
  <c r="D286" i="3"/>
  <c r="E286" i="3" s="1"/>
  <c r="F286" i="3"/>
  <c r="D285" i="3"/>
  <c r="E285" i="3" s="1"/>
  <c r="F285" i="3"/>
  <c r="D284" i="3"/>
  <c r="E284" i="3" s="1"/>
  <c r="F284" i="3"/>
  <c r="D283" i="3"/>
  <c r="E283" i="3" s="1"/>
  <c r="F283" i="3"/>
  <c r="D282" i="3"/>
  <c r="E282" i="3" s="1"/>
  <c r="F282" i="3"/>
  <c r="D281" i="3"/>
  <c r="E281" i="3" s="1"/>
  <c r="F281" i="3"/>
  <c r="D280" i="3"/>
  <c r="E280" i="3" s="1"/>
  <c r="F280" i="3"/>
  <c r="D279" i="3"/>
  <c r="E279" i="3" s="1"/>
  <c r="F279" i="3"/>
  <c r="D278" i="3"/>
  <c r="E278" i="3" s="1"/>
  <c r="F278" i="3"/>
  <c r="D277" i="3"/>
  <c r="E277" i="3" s="1"/>
  <c r="F277" i="3"/>
  <c r="D276" i="3"/>
  <c r="E276" i="3" s="1"/>
  <c r="F276" i="3"/>
  <c r="D275" i="3"/>
  <c r="E275" i="3" s="1"/>
  <c r="F275" i="3"/>
  <c r="D274" i="3"/>
  <c r="E274" i="3" s="1"/>
  <c r="F274" i="3"/>
  <c r="D273" i="3"/>
  <c r="E273" i="3" s="1"/>
  <c r="F273" i="3"/>
  <c r="D272" i="3"/>
  <c r="E272" i="3" s="1"/>
  <c r="F272" i="3"/>
  <c r="D271" i="3"/>
  <c r="E271" i="3" s="1"/>
  <c r="F271" i="3"/>
  <c r="D270" i="3"/>
  <c r="E270" i="3" s="1"/>
  <c r="F270" i="3"/>
  <c r="D269" i="3"/>
  <c r="E269" i="3" s="1"/>
  <c r="F269" i="3"/>
  <c r="D268" i="3"/>
  <c r="E268" i="3" s="1"/>
  <c r="F268" i="3"/>
  <c r="D267" i="3"/>
  <c r="E267" i="3" s="1"/>
  <c r="F267" i="3"/>
  <c r="D266" i="3"/>
  <c r="E266" i="3" s="1"/>
  <c r="F266" i="3"/>
  <c r="D265" i="3"/>
  <c r="E265" i="3" s="1"/>
  <c r="F265" i="3"/>
  <c r="D264" i="3"/>
  <c r="E264" i="3" s="1"/>
  <c r="F264" i="3"/>
  <c r="D263" i="3"/>
  <c r="E263" i="3" s="1"/>
  <c r="F263" i="3"/>
  <c r="D262" i="3"/>
  <c r="E262" i="3" s="1"/>
  <c r="F262" i="3"/>
  <c r="D261" i="3"/>
  <c r="E261" i="3" s="1"/>
  <c r="F261" i="3"/>
  <c r="D260" i="3"/>
  <c r="E260" i="3" s="1"/>
  <c r="F260" i="3"/>
  <c r="D259" i="3"/>
  <c r="E259" i="3" s="1"/>
  <c r="F259" i="3"/>
  <c r="D258" i="3"/>
  <c r="E258" i="3" s="1"/>
  <c r="F258" i="3"/>
  <c r="D257" i="3"/>
  <c r="E257" i="3" s="1"/>
  <c r="F257" i="3"/>
  <c r="D256" i="3"/>
  <c r="E256" i="3" s="1"/>
  <c r="F256" i="3"/>
  <c r="D255" i="3"/>
  <c r="E255" i="3" s="1"/>
  <c r="F255" i="3"/>
  <c r="D254" i="3"/>
  <c r="E254" i="3" s="1"/>
  <c r="F254" i="3"/>
  <c r="D253" i="3"/>
  <c r="E253" i="3" s="1"/>
  <c r="F253" i="3"/>
  <c r="D252" i="3"/>
  <c r="E252" i="3" s="1"/>
  <c r="F252" i="3"/>
  <c r="D251" i="3"/>
  <c r="E251" i="3" s="1"/>
  <c r="F251" i="3"/>
  <c r="D250" i="3"/>
  <c r="E250" i="3" s="1"/>
  <c r="F250" i="3"/>
  <c r="D249" i="3"/>
  <c r="E249" i="3" s="1"/>
  <c r="F249" i="3"/>
  <c r="D248" i="3"/>
  <c r="E248" i="3" s="1"/>
  <c r="F248" i="3"/>
  <c r="D247" i="3"/>
  <c r="E247" i="3" s="1"/>
  <c r="F247" i="3"/>
  <c r="D246" i="3"/>
  <c r="E246" i="3" s="1"/>
  <c r="F246" i="3"/>
  <c r="D245" i="3"/>
  <c r="E245" i="3" s="1"/>
  <c r="F245" i="3"/>
  <c r="D244" i="3"/>
  <c r="E244" i="3" s="1"/>
  <c r="F244" i="3"/>
  <c r="D243" i="3"/>
  <c r="E243" i="3" s="1"/>
  <c r="F243" i="3"/>
  <c r="D242" i="3"/>
  <c r="E242" i="3" s="1"/>
  <c r="F242" i="3"/>
  <c r="D241" i="3"/>
  <c r="E241" i="3" s="1"/>
  <c r="F241" i="3"/>
  <c r="D240" i="3"/>
  <c r="E240" i="3" s="1"/>
  <c r="F240" i="3"/>
  <c r="D239" i="3"/>
  <c r="E239" i="3" s="1"/>
  <c r="F239" i="3"/>
  <c r="D238" i="3"/>
  <c r="E238" i="3" s="1"/>
  <c r="F238" i="3"/>
  <c r="D237" i="3"/>
  <c r="E237" i="3" s="1"/>
  <c r="F237" i="3"/>
  <c r="D236" i="3"/>
  <c r="E236" i="3" s="1"/>
  <c r="F236" i="3"/>
  <c r="D235" i="3"/>
  <c r="E235" i="3" s="1"/>
  <c r="F235" i="3"/>
  <c r="D234" i="3"/>
  <c r="E234" i="3" s="1"/>
  <c r="F234" i="3"/>
  <c r="D233" i="3"/>
  <c r="E233" i="3" s="1"/>
  <c r="F233" i="3"/>
  <c r="D232" i="3"/>
  <c r="E232" i="3" s="1"/>
  <c r="F232" i="3"/>
  <c r="D231" i="3"/>
  <c r="E231" i="3" s="1"/>
  <c r="F231" i="3"/>
  <c r="D230" i="3"/>
  <c r="E230" i="3" s="1"/>
  <c r="F230" i="3"/>
  <c r="D229" i="3"/>
  <c r="E229" i="3" s="1"/>
  <c r="F229" i="3"/>
  <c r="D228" i="3"/>
  <c r="E228" i="3" s="1"/>
  <c r="F228" i="3"/>
  <c r="D227" i="3"/>
  <c r="E227" i="3" s="1"/>
  <c r="F227" i="3"/>
  <c r="D226" i="3"/>
  <c r="E226" i="3" s="1"/>
  <c r="F226" i="3"/>
  <c r="D225" i="3"/>
  <c r="E225" i="3" s="1"/>
  <c r="F225" i="3"/>
  <c r="D224" i="3"/>
  <c r="E224" i="3" s="1"/>
  <c r="F224" i="3"/>
  <c r="D223" i="3"/>
  <c r="E223" i="3" s="1"/>
  <c r="F223" i="3"/>
  <c r="D222" i="3"/>
  <c r="E222" i="3" s="1"/>
  <c r="F222" i="3"/>
  <c r="D221" i="3"/>
  <c r="E221" i="3" s="1"/>
  <c r="F221" i="3"/>
  <c r="D220" i="3"/>
  <c r="E220" i="3" s="1"/>
  <c r="F220" i="3"/>
  <c r="D219" i="3"/>
  <c r="E219" i="3" s="1"/>
  <c r="F219" i="3"/>
  <c r="D218" i="3"/>
  <c r="E218" i="3" s="1"/>
  <c r="F218" i="3"/>
  <c r="D217" i="3"/>
  <c r="E217" i="3" s="1"/>
  <c r="F217" i="3"/>
  <c r="D216" i="3"/>
  <c r="E216" i="3" s="1"/>
  <c r="F216" i="3"/>
  <c r="D215" i="3"/>
  <c r="E215" i="3" s="1"/>
  <c r="F215" i="3"/>
  <c r="D214" i="3"/>
  <c r="E214" i="3" s="1"/>
  <c r="F214" i="3"/>
  <c r="D213" i="3"/>
  <c r="E213" i="3" s="1"/>
  <c r="F213" i="3"/>
  <c r="D212" i="3"/>
  <c r="E212" i="3" s="1"/>
  <c r="F212" i="3"/>
  <c r="D211" i="3"/>
  <c r="E211" i="3" s="1"/>
  <c r="F211" i="3"/>
  <c r="D210" i="3"/>
  <c r="E210" i="3" s="1"/>
  <c r="F210" i="3"/>
  <c r="D209" i="3"/>
  <c r="E209" i="3" s="1"/>
  <c r="F209" i="3"/>
  <c r="D208" i="3"/>
  <c r="E208" i="3" s="1"/>
  <c r="F208" i="3"/>
  <c r="D207" i="3"/>
  <c r="E207" i="3" s="1"/>
  <c r="F207" i="3"/>
  <c r="D206" i="3"/>
  <c r="E206" i="3" s="1"/>
  <c r="F206" i="3"/>
  <c r="D205" i="3"/>
  <c r="E205" i="3" s="1"/>
  <c r="F205" i="3"/>
  <c r="D204" i="3"/>
  <c r="E204" i="3" s="1"/>
  <c r="F204" i="3"/>
  <c r="D203" i="3"/>
  <c r="E203" i="3" s="1"/>
  <c r="F203" i="3"/>
  <c r="D202" i="3"/>
  <c r="E202" i="3" s="1"/>
  <c r="F202" i="3"/>
  <c r="D201" i="3"/>
  <c r="E201" i="3" s="1"/>
  <c r="F201" i="3"/>
  <c r="D200" i="3"/>
  <c r="E200" i="3" s="1"/>
  <c r="F200" i="3"/>
  <c r="D199" i="3"/>
  <c r="E199" i="3" s="1"/>
  <c r="F199" i="3"/>
  <c r="D198" i="3"/>
  <c r="E198" i="3" s="1"/>
  <c r="F198" i="3"/>
  <c r="D197" i="3"/>
  <c r="E197" i="3" s="1"/>
  <c r="F197" i="3"/>
  <c r="D196" i="3"/>
  <c r="E196" i="3" s="1"/>
  <c r="F196" i="3"/>
  <c r="D195" i="3"/>
  <c r="E195" i="3" s="1"/>
  <c r="F195" i="3"/>
  <c r="D194" i="3"/>
  <c r="E194" i="3" s="1"/>
  <c r="F194" i="3"/>
  <c r="D193" i="3"/>
  <c r="E193" i="3" s="1"/>
  <c r="F193" i="3"/>
  <c r="D192" i="3"/>
  <c r="E192" i="3" s="1"/>
  <c r="F192" i="3"/>
  <c r="D191" i="3"/>
  <c r="E191" i="3" s="1"/>
  <c r="F191" i="3"/>
  <c r="D190" i="3"/>
  <c r="E190" i="3" s="1"/>
  <c r="F190" i="3"/>
  <c r="D189" i="3"/>
  <c r="E189" i="3" s="1"/>
  <c r="F189" i="3"/>
  <c r="D188" i="3"/>
  <c r="E188" i="3" s="1"/>
  <c r="F188" i="3"/>
  <c r="D187" i="3"/>
  <c r="E187" i="3" s="1"/>
  <c r="F187" i="3"/>
  <c r="D186" i="3"/>
  <c r="E186" i="3" s="1"/>
  <c r="F186" i="3"/>
  <c r="D185" i="3"/>
  <c r="E185" i="3" s="1"/>
  <c r="F185" i="3"/>
  <c r="D184" i="3"/>
  <c r="E184" i="3" s="1"/>
  <c r="F184" i="3"/>
  <c r="D183" i="3"/>
  <c r="E183" i="3" s="1"/>
  <c r="F183" i="3"/>
  <c r="D182" i="3"/>
  <c r="E182" i="3" s="1"/>
  <c r="F182" i="3"/>
  <c r="D181" i="3"/>
  <c r="E181" i="3" s="1"/>
  <c r="F181" i="3"/>
  <c r="D180" i="3"/>
  <c r="E180" i="3" s="1"/>
  <c r="F180" i="3"/>
  <c r="D179" i="3"/>
  <c r="E179" i="3" s="1"/>
  <c r="F179" i="3"/>
  <c r="D178" i="3"/>
  <c r="E178" i="3" s="1"/>
  <c r="F178" i="3"/>
  <c r="D177" i="3"/>
  <c r="E177" i="3" s="1"/>
  <c r="F177" i="3"/>
  <c r="D176" i="3"/>
  <c r="E176" i="3" s="1"/>
  <c r="F176" i="3"/>
  <c r="D175" i="3"/>
  <c r="E175" i="3" s="1"/>
  <c r="F175" i="3"/>
  <c r="D174" i="3"/>
  <c r="E174" i="3" s="1"/>
  <c r="F174" i="3"/>
  <c r="D173" i="3"/>
  <c r="E173" i="3" s="1"/>
  <c r="F173" i="3"/>
  <c r="D172" i="3"/>
  <c r="E172" i="3" s="1"/>
  <c r="F172" i="3"/>
  <c r="D171" i="3"/>
  <c r="E171" i="3" s="1"/>
  <c r="F171" i="3"/>
  <c r="D170" i="3"/>
  <c r="E170" i="3" s="1"/>
  <c r="F170" i="3"/>
  <c r="D169" i="3"/>
  <c r="E169" i="3" s="1"/>
  <c r="F169" i="3"/>
  <c r="D168" i="3"/>
  <c r="E168" i="3" s="1"/>
  <c r="F168" i="3"/>
  <c r="D167" i="3"/>
  <c r="E167" i="3" s="1"/>
  <c r="F167" i="3"/>
  <c r="D166" i="3"/>
  <c r="E166" i="3" s="1"/>
  <c r="F166" i="3"/>
  <c r="D165" i="3"/>
  <c r="E165" i="3" s="1"/>
  <c r="F165" i="3"/>
  <c r="D164" i="3"/>
  <c r="E164" i="3" s="1"/>
  <c r="F164" i="3"/>
  <c r="D163" i="3"/>
  <c r="E163" i="3" s="1"/>
  <c r="F163" i="3"/>
  <c r="D162" i="3"/>
  <c r="E162" i="3" s="1"/>
  <c r="F162" i="3"/>
  <c r="D161" i="3"/>
  <c r="E161" i="3" s="1"/>
  <c r="F161" i="3"/>
  <c r="D160" i="3"/>
  <c r="E160" i="3" s="1"/>
  <c r="F160" i="3"/>
  <c r="D159" i="3"/>
  <c r="E159" i="3" s="1"/>
  <c r="F159" i="3"/>
  <c r="D158" i="3"/>
  <c r="E158" i="3" s="1"/>
  <c r="F158" i="3"/>
  <c r="D157" i="3"/>
  <c r="E157" i="3" s="1"/>
  <c r="F157" i="3"/>
  <c r="D156" i="3"/>
  <c r="E156" i="3" s="1"/>
  <c r="F156" i="3"/>
  <c r="D155" i="3"/>
  <c r="E155" i="3" s="1"/>
  <c r="F155" i="3"/>
  <c r="D154" i="3"/>
  <c r="E154" i="3" s="1"/>
  <c r="F154" i="3"/>
  <c r="D153" i="3"/>
  <c r="E153" i="3" s="1"/>
  <c r="F153" i="3"/>
  <c r="D152" i="3"/>
  <c r="E152" i="3" s="1"/>
  <c r="F152" i="3"/>
  <c r="D151" i="3"/>
  <c r="E151" i="3" s="1"/>
  <c r="F151" i="3"/>
  <c r="D150" i="3"/>
  <c r="E150" i="3" s="1"/>
  <c r="F150" i="3"/>
  <c r="D149" i="3"/>
  <c r="E149" i="3" s="1"/>
  <c r="F149" i="3"/>
  <c r="D148" i="3"/>
  <c r="E148" i="3" s="1"/>
  <c r="F148" i="3"/>
  <c r="D147" i="3"/>
  <c r="E147" i="3" s="1"/>
  <c r="F147" i="3"/>
  <c r="D146" i="3"/>
  <c r="E146" i="3" s="1"/>
  <c r="F146" i="3"/>
  <c r="D145" i="3"/>
  <c r="E145" i="3" s="1"/>
  <c r="F145" i="3"/>
  <c r="D144" i="3"/>
  <c r="E144" i="3" s="1"/>
  <c r="F144" i="3"/>
  <c r="D143" i="3"/>
  <c r="E143" i="3" s="1"/>
  <c r="F143" i="3"/>
  <c r="D142" i="3"/>
  <c r="E142" i="3" s="1"/>
  <c r="F142" i="3"/>
  <c r="D141" i="3"/>
  <c r="E141" i="3" s="1"/>
  <c r="F141" i="3"/>
  <c r="D140" i="3"/>
  <c r="E140" i="3" s="1"/>
  <c r="F140" i="3"/>
  <c r="D139" i="3"/>
  <c r="E139" i="3" s="1"/>
  <c r="F139" i="3"/>
  <c r="D138" i="3"/>
  <c r="E138" i="3" s="1"/>
  <c r="F138" i="3"/>
  <c r="D137" i="3"/>
  <c r="E137" i="3" s="1"/>
  <c r="F137" i="3"/>
  <c r="D136" i="3"/>
  <c r="E136" i="3" s="1"/>
  <c r="F136" i="3"/>
  <c r="D135" i="3"/>
  <c r="E135" i="3" s="1"/>
  <c r="F135" i="3"/>
  <c r="D134" i="3"/>
  <c r="E134" i="3" s="1"/>
  <c r="F134" i="3"/>
  <c r="D133" i="3"/>
  <c r="E133" i="3" s="1"/>
  <c r="F133" i="3"/>
  <c r="D132" i="3"/>
  <c r="E132" i="3" s="1"/>
  <c r="F132" i="3"/>
  <c r="D131" i="3"/>
  <c r="E131" i="3" s="1"/>
  <c r="F131" i="3"/>
  <c r="D130" i="3"/>
  <c r="E130" i="3" s="1"/>
  <c r="F130" i="3"/>
  <c r="D129" i="3"/>
  <c r="E129" i="3" s="1"/>
  <c r="F129" i="3"/>
  <c r="D128" i="3"/>
  <c r="E128" i="3" s="1"/>
  <c r="F128" i="3"/>
  <c r="D127" i="3"/>
  <c r="E127" i="3" s="1"/>
  <c r="F127" i="3"/>
  <c r="D126" i="3"/>
  <c r="E126" i="3" s="1"/>
  <c r="F126" i="3"/>
  <c r="D125" i="3"/>
  <c r="E125" i="3" s="1"/>
  <c r="F125" i="3"/>
  <c r="D124" i="3"/>
  <c r="E124" i="3" s="1"/>
  <c r="F124" i="3"/>
  <c r="D123" i="3"/>
  <c r="E123" i="3" s="1"/>
  <c r="F123" i="3"/>
  <c r="D122" i="3"/>
  <c r="E122" i="3" s="1"/>
  <c r="F122" i="3"/>
  <c r="D121" i="3"/>
  <c r="E121" i="3" s="1"/>
  <c r="F121" i="3"/>
  <c r="D120" i="3"/>
  <c r="E120" i="3" s="1"/>
  <c r="F120" i="3"/>
  <c r="D119" i="3"/>
  <c r="E119" i="3" s="1"/>
  <c r="F119" i="3"/>
  <c r="D118" i="3"/>
  <c r="E118" i="3" s="1"/>
  <c r="F118" i="3"/>
  <c r="D117" i="3"/>
  <c r="E117" i="3" s="1"/>
  <c r="F117" i="3"/>
  <c r="D116" i="3"/>
  <c r="E116" i="3" s="1"/>
  <c r="F116" i="3"/>
  <c r="D115" i="3"/>
  <c r="E115" i="3" s="1"/>
  <c r="F115" i="3"/>
  <c r="D114" i="3"/>
  <c r="E114" i="3" s="1"/>
  <c r="F114" i="3"/>
  <c r="D113" i="3"/>
  <c r="E113" i="3" s="1"/>
  <c r="F113" i="3"/>
  <c r="D112" i="3"/>
  <c r="E112" i="3" s="1"/>
  <c r="F112" i="3"/>
  <c r="D111" i="3"/>
  <c r="E111" i="3" s="1"/>
  <c r="F111" i="3"/>
  <c r="D110" i="3"/>
  <c r="E110" i="3" s="1"/>
  <c r="F110" i="3"/>
  <c r="D109" i="3"/>
  <c r="E109" i="3" s="1"/>
  <c r="F109" i="3"/>
  <c r="D108" i="3"/>
  <c r="E108" i="3" s="1"/>
  <c r="F108" i="3"/>
  <c r="D107" i="3"/>
  <c r="E107" i="3" s="1"/>
  <c r="F107" i="3"/>
  <c r="D106" i="3"/>
  <c r="E106" i="3" s="1"/>
  <c r="F106" i="3"/>
  <c r="D105" i="3"/>
  <c r="E105" i="3" s="1"/>
  <c r="F105" i="3"/>
  <c r="D104" i="3"/>
  <c r="E104" i="3" s="1"/>
  <c r="F104" i="3"/>
  <c r="D103" i="3"/>
  <c r="E103" i="3" s="1"/>
  <c r="F103" i="3"/>
  <c r="D102" i="3"/>
  <c r="E102" i="3" s="1"/>
  <c r="F102" i="3"/>
  <c r="D101" i="3"/>
  <c r="E101" i="3" s="1"/>
  <c r="F101" i="3"/>
  <c r="D100" i="3"/>
  <c r="E100" i="3" s="1"/>
  <c r="F100" i="3"/>
  <c r="D99" i="3"/>
  <c r="E99" i="3" s="1"/>
  <c r="F99" i="3"/>
  <c r="D98" i="3"/>
  <c r="E98" i="3" s="1"/>
  <c r="F98" i="3"/>
  <c r="D97" i="3"/>
  <c r="E97" i="3" s="1"/>
  <c r="F97" i="3"/>
  <c r="D96" i="3"/>
  <c r="E96" i="3" s="1"/>
  <c r="F96" i="3"/>
  <c r="D95" i="3"/>
  <c r="E95" i="3" s="1"/>
  <c r="F95" i="3"/>
  <c r="D94" i="3"/>
  <c r="E94" i="3" s="1"/>
  <c r="F94" i="3"/>
  <c r="D93" i="3"/>
  <c r="E93" i="3" s="1"/>
  <c r="F93" i="3"/>
  <c r="D92" i="3"/>
  <c r="E92" i="3" s="1"/>
  <c r="F92" i="3"/>
  <c r="D91" i="3"/>
  <c r="E91" i="3" s="1"/>
  <c r="F91" i="3"/>
  <c r="D90" i="3"/>
  <c r="E90" i="3" s="1"/>
  <c r="F90" i="3"/>
  <c r="D89" i="3"/>
  <c r="E89" i="3" s="1"/>
  <c r="F89" i="3"/>
  <c r="D88" i="3"/>
  <c r="E88" i="3" s="1"/>
  <c r="F88" i="3"/>
  <c r="D87" i="3"/>
  <c r="E87" i="3" s="1"/>
  <c r="F87" i="3"/>
  <c r="D86" i="3"/>
  <c r="E86" i="3" s="1"/>
  <c r="F86" i="3"/>
  <c r="D85" i="3"/>
  <c r="E85" i="3" s="1"/>
  <c r="F85" i="3"/>
  <c r="D84" i="3"/>
  <c r="E84" i="3" s="1"/>
  <c r="F84" i="3"/>
  <c r="D83" i="3"/>
  <c r="E83" i="3" s="1"/>
  <c r="F83" i="3"/>
  <c r="D82" i="3"/>
  <c r="E82" i="3" s="1"/>
  <c r="F82" i="3"/>
  <c r="D81" i="3"/>
  <c r="E81" i="3" s="1"/>
  <c r="F81" i="3"/>
  <c r="D80" i="3"/>
  <c r="E80" i="3" s="1"/>
  <c r="F80" i="3"/>
  <c r="D79" i="3"/>
  <c r="E79" i="3" s="1"/>
  <c r="F79" i="3"/>
  <c r="D78" i="3"/>
  <c r="E78" i="3" s="1"/>
  <c r="F78" i="3"/>
  <c r="D77" i="3"/>
  <c r="E77" i="3" s="1"/>
  <c r="F77" i="3"/>
  <c r="D76" i="3"/>
  <c r="E76" i="3" s="1"/>
  <c r="F76" i="3"/>
  <c r="D75" i="3"/>
  <c r="E75" i="3" s="1"/>
  <c r="F75" i="3"/>
  <c r="D74" i="3"/>
  <c r="E74" i="3" s="1"/>
  <c r="F74" i="3"/>
  <c r="D73" i="3"/>
  <c r="E73" i="3" s="1"/>
  <c r="F73" i="3"/>
  <c r="D72" i="3"/>
  <c r="E72" i="3" s="1"/>
  <c r="F72" i="3"/>
  <c r="D71" i="3"/>
  <c r="E71" i="3" s="1"/>
  <c r="F71" i="3"/>
  <c r="D70" i="3"/>
  <c r="E70" i="3" s="1"/>
  <c r="F70" i="3"/>
  <c r="D69" i="3"/>
  <c r="E69" i="3" s="1"/>
  <c r="F69" i="3"/>
  <c r="D68" i="3"/>
  <c r="E68" i="3" s="1"/>
  <c r="F68" i="3"/>
  <c r="D67" i="3"/>
  <c r="E67" i="3" s="1"/>
  <c r="F67" i="3"/>
  <c r="D66" i="3"/>
  <c r="E66" i="3" s="1"/>
  <c r="F66" i="3"/>
  <c r="D65" i="3"/>
  <c r="E65" i="3" s="1"/>
  <c r="F65" i="3"/>
  <c r="D64" i="3"/>
  <c r="E64" i="3" s="1"/>
  <c r="F64" i="3"/>
  <c r="D63" i="3"/>
  <c r="E63" i="3" s="1"/>
  <c r="F63" i="3"/>
  <c r="D62" i="3"/>
  <c r="E62" i="3" s="1"/>
  <c r="F62" i="3"/>
  <c r="D61" i="3"/>
  <c r="E61" i="3" s="1"/>
  <c r="F61" i="3"/>
  <c r="D60" i="3"/>
  <c r="E60" i="3" s="1"/>
  <c r="F60" i="3"/>
  <c r="D59" i="3"/>
  <c r="E59" i="3" s="1"/>
  <c r="F59" i="3"/>
  <c r="D58" i="3"/>
  <c r="E58" i="3" s="1"/>
  <c r="F58" i="3"/>
  <c r="D57" i="3"/>
  <c r="E57" i="3" s="1"/>
  <c r="F57" i="3"/>
  <c r="D56" i="3"/>
  <c r="E56" i="3" s="1"/>
  <c r="F56" i="3"/>
  <c r="D55" i="3"/>
  <c r="E55" i="3" s="1"/>
  <c r="F55" i="3"/>
  <c r="D54" i="3"/>
  <c r="E54" i="3" s="1"/>
  <c r="F54" i="3"/>
  <c r="D53" i="3"/>
  <c r="E53" i="3" s="1"/>
  <c r="F53" i="3"/>
  <c r="D52" i="3"/>
  <c r="E52" i="3" s="1"/>
  <c r="F52" i="3"/>
  <c r="D51" i="3"/>
  <c r="E51" i="3" s="1"/>
  <c r="F51" i="3"/>
  <c r="D50" i="3"/>
  <c r="E50" i="3" s="1"/>
  <c r="F50" i="3"/>
  <c r="D49" i="3"/>
  <c r="E49" i="3" s="1"/>
  <c r="F49" i="3"/>
  <c r="D48" i="3"/>
  <c r="E48" i="3" s="1"/>
  <c r="F48" i="3"/>
  <c r="D47" i="3"/>
  <c r="E47" i="3" s="1"/>
  <c r="F47" i="3"/>
  <c r="D46" i="3"/>
  <c r="E46" i="3" s="1"/>
  <c r="F46" i="3"/>
  <c r="D45" i="3"/>
  <c r="E45" i="3" s="1"/>
  <c r="F45" i="3"/>
  <c r="D44" i="3"/>
  <c r="E44" i="3" s="1"/>
  <c r="F44" i="3"/>
  <c r="D43" i="3"/>
  <c r="E43" i="3" s="1"/>
  <c r="F43" i="3"/>
  <c r="D42" i="3"/>
  <c r="E42" i="3" s="1"/>
  <c r="F42" i="3"/>
  <c r="D41" i="3"/>
  <c r="E41" i="3" s="1"/>
  <c r="F41" i="3"/>
  <c r="D40" i="3"/>
  <c r="E40" i="3" s="1"/>
  <c r="F40" i="3"/>
  <c r="D39" i="3"/>
  <c r="E39" i="3" s="1"/>
  <c r="F39" i="3"/>
  <c r="D38" i="3"/>
  <c r="E38" i="3" s="1"/>
  <c r="F38" i="3"/>
  <c r="D37" i="3"/>
  <c r="E37" i="3" s="1"/>
  <c r="F37" i="3"/>
  <c r="D36" i="3"/>
  <c r="E36" i="3" s="1"/>
  <c r="F36" i="3"/>
  <c r="D35" i="3"/>
  <c r="E35" i="3" s="1"/>
  <c r="F35" i="3"/>
  <c r="D34" i="3"/>
  <c r="E34" i="3" s="1"/>
  <c r="F34" i="3"/>
  <c r="D33" i="3"/>
  <c r="E33" i="3" s="1"/>
  <c r="F33" i="3"/>
  <c r="D32" i="3"/>
  <c r="E32" i="3" s="1"/>
  <c r="F32" i="3"/>
  <c r="D31" i="3"/>
  <c r="E31" i="3" s="1"/>
  <c r="F31" i="3"/>
  <c r="D30" i="3"/>
  <c r="E30" i="3" s="1"/>
  <c r="F30" i="3"/>
  <c r="D29" i="3"/>
  <c r="E29" i="3" s="1"/>
  <c r="F29" i="3"/>
  <c r="D28" i="3"/>
  <c r="E28" i="3" s="1"/>
  <c r="F28" i="3"/>
  <c r="D27" i="3"/>
  <c r="E27" i="3" s="1"/>
  <c r="F27" i="3"/>
  <c r="D26" i="3"/>
  <c r="E26" i="3" s="1"/>
  <c r="F26" i="3"/>
  <c r="D25" i="3"/>
  <c r="E25" i="3" s="1"/>
  <c r="F25" i="3"/>
  <c r="D24" i="3"/>
  <c r="E24" i="3" s="1"/>
  <c r="F24" i="3"/>
  <c r="D23" i="3"/>
  <c r="E23" i="3" s="1"/>
  <c r="F23" i="3"/>
  <c r="D22" i="3"/>
  <c r="E22" i="3" s="1"/>
  <c r="F22" i="3"/>
  <c r="D21" i="3"/>
  <c r="E21" i="3" s="1"/>
  <c r="F21" i="3"/>
  <c r="D20" i="3"/>
  <c r="E20" i="3" s="1"/>
  <c r="F20" i="3"/>
  <c r="D19" i="3"/>
  <c r="E19" i="3" s="1"/>
  <c r="F19" i="3"/>
  <c r="D18" i="3"/>
  <c r="E18" i="3" s="1"/>
  <c r="F18" i="3"/>
  <c r="D17" i="3"/>
  <c r="E17" i="3" s="1"/>
  <c r="F17" i="3"/>
  <c r="D16" i="3"/>
  <c r="E16" i="3" s="1"/>
  <c r="F16" i="3"/>
  <c r="D15" i="3"/>
  <c r="E15" i="3" s="1"/>
  <c r="F15" i="3"/>
  <c r="D14" i="3"/>
  <c r="E14" i="3" s="1"/>
  <c r="F14" i="3"/>
  <c r="D13" i="3"/>
  <c r="E13" i="3" s="1"/>
  <c r="F13" i="3"/>
  <c r="D12" i="3"/>
  <c r="E12" i="3" s="1"/>
  <c r="F12" i="3"/>
  <c r="D11" i="3"/>
  <c r="E11" i="3" s="1"/>
  <c r="F11" i="3"/>
  <c r="D10" i="3"/>
  <c r="E10" i="3" s="1"/>
  <c r="F10" i="3"/>
  <c r="D9" i="3"/>
  <c r="E9" i="3" s="1"/>
  <c r="F9" i="3"/>
  <c r="D8" i="3"/>
  <c r="E8" i="3" s="1"/>
  <c r="F8" i="3"/>
  <c r="D7" i="3"/>
  <c r="E7" i="3" s="1"/>
  <c r="F7" i="3"/>
  <c r="D6" i="3"/>
  <c r="E6" i="3" s="1"/>
  <c r="F6" i="3"/>
  <c r="D5" i="3"/>
  <c r="E5" i="3" s="1"/>
  <c r="F5" i="3"/>
  <c r="D4" i="3"/>
  <c r="E4" i="3" s="1"/>
  <c r="F4" i="3"/>
  <c r="D3" i="3"/>
  <c r="E3" i="3" s="1"/>
  <c r="F3" i="3"/>
  <c r="B2" i="3"/>
  <c r="C2" i="3"/>
  <c r="D2" i="3" l="1"/>
  <c r="E2" i="3" s="1"/>
  <c r="F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<sst xmlns="http://schemas.openxmlformats.org/spreadsheetml/2006/main" count="8" uniqueCount="8">
  <si>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AET</t>
  </si>
  <si>
    <t>Via</t>
  </si>
  <si>
    <t>Latitudine</t>
  </si>
  <si>
    <t>Longitudine</t>
  </si>
  <si>
    <t>PDR</t>
  </si>
  <si>
    <t>Civico</t>
  </si>
  <si>
    <t>Indirizzo</t>
  </si>
  <si>
    <t>N° 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</si>
</sst>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a-nas01\14\AREA-OVEST-PM\Contenitori\Cassonetti\Riprorammazione%20giri%202%20assi%202026\riprogettazione%20CSL%202026.xlsx" TargetMode="External"/><Relationship Id="rId1" Type="http://schemas.openxmlformats.org/officeDocument/2006/relationships/externalLinkPath" Target="riprogettazione%20CS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a-nas01\14\AREA-OVEST-PM\Contenitori\Cassonetti\Riprorammazione%20giri%202%20assi%202026\indirizzi_geocodificati.xlsx" TargetMode="External"/><Relationship Id="rId1" Type="http://schemas.openxmlformats.org/officeDocument/2006/relationships/externalLinkPath" Target="indirizzi_geocodifica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grafica"/>
      <sheetName val="MasterCont"/>
      <sheetName val="Gest_freq"/>
      <sheetName val="Tabella_N_Assi"/>
      <sheetName val="Foglio6"/>
      <sheetName val="Cassonessi MU"/>
      <sheetName val="Cassonetti CA"/>
      <sheetName val="Cassonetti ORG"/>
      <sheetName val="Cassonerri RSU"/>
      <sheetName val="riprogettazione CSL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PDR</v>
          </cell>
          <cell r="G1" t="str">
            <v>Latitudine</v>
          </cell>
          <cell r="H1" t="str">
            <v>Longitudine</v>
          </cell>
        </row>
        <row r="2">
          <cell r="A2" t="str">
            <v>500000120323</v>
          </cell>
          <cell r="G2">
            <v>41.8431517</v>
          </cell>
          <cell r="H2">
            <v>12.436747499999999</v>
          </cell>
        </row>
        <row r="3">
          <cell r="A3" t="str">
            <v>500000205365</v>
          </cell>
          <cell r="G3">
            <v>41.858344299999999</v>
          </cell>
          <cell r="H3">
            <v>12.419254</v>
          </cell>
        </row>
        <row r="4">
          <cell r="A4" t="str">
            <v>500000205365</v>
          </cell>
          <cell r="G4">
            <v>41.858344299999999</v>
          </cell>
          <cell r="H4">
            <v>12.419254</v>
          </cell>
        </row>
        <row r="5">
          <cell r="A5" t="str">
            <v>500000205369</v>
          </cell>
          <cell r="G5">
            <v>41.861012600000002</v>
          </cell>
          <cell r="H5">
            <v>12.465145700000001</v>
          </cell>
        </row>
        <row r="6">
          <cell r="A6" t="str">
            <v>500000055984</v>
          </cell>
          <cell r="G6">
            <v>41.864790599999999</v>
          </cell>
          <cell r="H6">
            <v>12.4679225</v>
          </cell>
        </row>
        <row r="7">
          <cell r="A7" t="str">
            <v>500000047225</v>
          </cell>
          <cell r="G7">
            <v>41.864571099999999</v>
          </cell>
          <cell r="H7">
            <v>12.472239800000001</v>
          </cell>
        </row>
        <row r="8">
          <cell r="A8" t="str">
            <v>500000073552</v>
          </cell>
          <cell r="G8">
            <v>41.8638707</v>
          </cell>
          <cell r="H8">
            <v>12.4733328</v>
          </cell>
        </row>
        <row r="9">
          <cell r="A9" t="str">
            <v>500000020403</v>
          </cell>
          <cell r="G9">
            <v>41.863137000000002</v>
          </cell>
          <cell r="H9">
            <v>12.4720189</v>
          </cell>
        </row>
        <row r="10">
          <cell r="A10" t="str">
            <v>500000094207</v>
          </cell>
          <cell r="G10">
            <v>41.866013600000002</v>
          </cell>
          <cell r="H10">
            <v>12.4715598</v>
          </cell>
        </row>
        <row r="11">
          <cell r="A11" t="str">
            <v>500000064897</v>
          </cell>
          <cell r="G11">
            <v>41.8640002</v>
          </cell>
          <cell r="H11">
            <v>12.4665342</v>
          </cell>
        </row>
        <row r="12">
          <cell r="A12" t="str">
            <v>500000059425</v>
          </cell>
          <cell r="G12">
            <v>41.862639000000001</v>
          </cell>
          <cell r="H12">
            <v>12.4655162</v>
          </cell>
        </row>
        <row r="13">
          <cell r="A13" t="str">
            <v>500000059427</v>
          </cell>
          <cell r="G13">
            <v>41.862639000000001</v>
          </cell>
          <cell r="H13">
            <v>12.4655162</v>
          </cell>
        </row>
        <row r="14">
          <cell r="A14" t="str">
            <v>500000125616</v>
          </cell>
          <cell r="G14">
            <v>41.862491400000003</v>
          </cell>
          <cell r="H14">
            <v>12.4672968</v>
          </cell>
        </row>
        <row r="15">
          <cell r="A15" t="str">
            <v>500000068603</v>
          </cell>
          <cell r="G15">
            <v>41.865211799999997</v>
          </cell>
          <cell r="H15">
            <v>12.4687611</v>
          </cell>
        </row>
        <row r="16">
          <cell r="A16" t="str">
            <v>500000100775</v>
          </cell>
          <cell r="G16">
            <v>41.870023699999997</v>
          </cell>
          <cell r="H16">
            <v>12.4672248</v>
          </cell>
        </row>
        <row r="17">
          <cell r="A17" t="str">
            <v>500000024170</v>
          </cell>
          <cell r="G17">
            <v>41.867123999999997</v>
          </cell>
          <cell r="H17">
            <v>12.467258899999999</v>
          </cell>
        </row>
        <row r="18">
          <cell r="A18" t="str">
            <v>500000024168</v>
          </cell>
          <cell r="G18">
            <v>41.867123999999997</v>
          </cell>
          <cell r="H18">
            <v>12.467258899999999</v>
          </cell>
        </row>
        <row r="19">
          <cell r="A19" t="str">
            <v>500000024169</v>
          </cell>
          <cell r="G19">
            <v>41.867123999999997</v>
          </cell>
          <cell r="H19">
            <v>12.467258899999999</v>
          </cell>
        </row>
        <row r="20">
          <cell r="A20" t="str">
            <v>500000203597</v>
          </cell>
          <cell r="G20">
            <v>41.859758599999999</v>
          </cell>
          <cell r="H20">
            <v>12.419367100000001</v>
          </cell>
        </row>
        <row r="21">
          <cell r="A21" t="str">
            <v>500000203597</v>
          </cell>
          <cell r="G21">
            <v>41.859758599999999</v>
          </cell>
          <cell r="H21">
            <v>12.419367100000001</v>
          </cell>
        </row>
        <row r="22">
          <cell r="A22" t="str">
            <v>500000027331</v>
          </cell>
          <cell r="G22">
            <v>41.8562826</v>
          </cell>
          <cell r="H22">
            <v>12.422466399999999</v>
          </cell>
        </row>
        <row r="23">
          <cell r="A23" t="str">
            <v>500000097884</v>
          </cell>
          <cell r="G23">
            <v>41.870518400000002</v>
          </cell>
          <cell r="H23">
            <v>12.4653882</v>
          </cell>
        </row>
        <row r="24">
          <cell r="A24" t="str">
            <v>500000047132</v>
          </cell>
          <cell r="G24">
            <v>41.859523299999999</v>
          </cell>
          <cell r="H24">
            <v>12.4548323</v>
          </cell>
        </row>
        <row r="25">
          <cell r="A25" t="str">
            <v>500000086512</v>
          </cell>
          <cell r="G25">
            <v>41.862243599999999</v>
          </cell>
          <cell r="H25">
            <v>12.460785599999999</v>
          </cell>
        </row>
        <row r="26">
          <cell r="A26" t="str">
            <v>500000047130</v>
          </cell>
          <cell r="G26">
            <v>41.859523299999999</v>
          </cell>
          <cell r="H26">
            <v>12.4548323</v>
          </cell>
        </row>
        <row r="27">
          <cell r="A27" t="str">
            <v>500000093888</v>
          </cell>
          <cell r="G27">
            <v>41.8597283</v>
          </cell>
          <cell r="H27">
            <v>12.457281200000001</v>
          </cell>
        </row>
        <row r="28">
          <cell r="A28" t="str">
            <v>500000065783</v>
          </cell>
          <cell r="G28">
            <v>41.860600599999998</v>
          </cell>
          <cell r="H28">
            <v>12.452281899999999</v>
          </cell>
        </row>
        <row r="29">
          <cell r="A29" t="str">
            <v>500000050421</v>
          </cell>
          <cell r="G29">
            <v>41.860331700000003</v>
          </cell>
          <cell r="H29">
            <v>12.4572786</v>
          </cell>
        </row>
        <row r="30">
          <cell r="A30" t="str">
            <v>500000065782</v>
          </cell>
          <cell r="G30">
            <v>41.860600599999998</v>
          </cell>
          <cell r="H30">
            <v>12.452281899999999</v>
          </cell>
        </row>
        <row r="31">
          <cell r="A31" t="str">
            <v>500000205634</v>
          </cell>
          <cell r="G31">
            <v>41.8697053</v>
          </cell>
          <cell r="H31">
            <v>12.464003699999999</v>
          </cell>
        </row>
        <row r="32">
          <cell r="A32" t="str">
            <v>500000065036</v>
          </cell>
          <cell r="G32">
            <v>41.860840600000003</v>
          </cell>
          <cell r="H32">
            <v>12.4615081</v>
          </cell>
        </row>
        <row r="33">
          <cell r="A33" t="str">
            <v>500000065036</v>
          </cell>
          <cell r="G33">
            <v>41.860840600000003</v>
          </cell>
          <cell r="H33">
            <v>12.4615081</v>
          </cell>
        </row>
        <row r="34">
          <cell r="A34" t="str">
            <v>500000047638</v>
          </cell>
          <cell r="G34">
            <v>41.861187999999999</v>
          </cell>
          <cell r="H34">
            <v>12.4532439</v>
          </cell>
        </row>
        <row r="35">
          <cell r="A35" t="str">
            <v>500000100618</v>
          </cell>
          <cell r="G35">
            <v>41.867226500000001</v>
          </cell>
          <cell r="H35">
            <v>12.4627888</v>
          </cell>
        </row>
        <row r="36">
          <cell r="A36" t="str">
            <v>500000097780</v>
          </cell>
          <cell r="G36">
            <v>41.870518400000002</v>
          </cell>
          <cell r="H36">
            <v>12.4653882</v>
          </cell>
        </row>
        <row r="37">
          <cell r="A37" t="str">
            <v>500000094974</v>
          </cell>
          <cell r="G37">
            <v>41.8583189</v>
          </cell>
          <cell r="H37">
            <v>12.451320600000001</v>
          </cell>
        </row>
        <row r="38">
          <cell r="A38" t="str">
            <v>500000072139</v>
          </cell>
          <cell r="G38">
            <v>41.857732400000003</v>
          </cell>
          <cell r="H38">
            <v>12.453292599999999</v>
          </cell>
        </row>
        <row r="39">
          <cell r="A39" t="str">
            <v>500000063881</v>
          </cell>
          <cell r="G39">
            <v>41.871101799999998</v>
          </cell>
          <cell r="H39">
            <v>12.4676934</v>
          </cell>
        </row>
        <row r="40">
          <cell r="A40" t="str">
            <v>500000066426</v>
          </cell>
          <cell r="G40">
            <v>41.855439699999998</v>
          </cell>
          <cell r="H40">
            <v>12.4485481</v>
          </cell>
        </row>
        <row r="41">
          <cell r="A41" t="str">
            <v>500000047357</v>
          </cell>
          <cell r="G41">
            <v>41.849021700000002</v>
          </cell>
          <cell r="H41">
            <v>12.450667899999999</v>
          </cell>
        </row>
        <row r="42">
          <cell r="A42" t="str">
            <v>500000109983</v>
          </cell>
          <cell r="G42">
            <v>41.850236899999999</v>
          </cell>
          <cell r="H42">
            <v>12.461672800000001</v>
          </cell>
        </row>
        <row r="43">
          <cell r="A43" t="str">
            <v>500000125827</v>
          </cell>
          <cell r="G43">
            <v>41.854479699999999</v>
          </cell>
          <cell r="H43">
            <v>12.450822499999999</v>
          </cell>
        </row>
        <row r="44">
          <cell r="A44" t="str">
            <v>500000026385</v>
          </cell>
          <cell r="G44">
            <v>41.849945400000003</v>
          </cell>
          <cell r="H44">
            <v>12.452703</v>
          </cell>
        </row>
        <row r="45">
          <cell r="A45" t="str">
            <v>500000205634</v>
          </cell>
          <cell r="G45">
            <v>41.8697053</v>
          </cell>
          <cell r="H45">
            <v>12.464003699999999</v>
          </cell>
        </row>
        <row r="46">
          <cell r="A46" t="str">
            <v>500000066430</v>
          </cell>
          <cell r="G46">
            <v>41.855439699999998</v>
          </cell>
          <cell r="H46">
            <v>12.4485481</v>
          </cell>
        </row>
        <row r="47">
          <cell r="A47" t="str">
            <v>500000108178</v>
          </cell>
          <cell r="G47">
            <v>41.844357299999999</v>
          </cell>
          <cell r="H47">
            <v>12.4568061</v>
          </cell>
        </row>
        <row r="48">
          <cell r="A48" t="str">
            <v>500000034428</v>
          </cell>
          <cell r="G48">
            <v>41.8480366</v>
          </cell>
          <cell r="H48">
            <v>12.462700699999999</v>
          </cell>
        </row>
        <row r="49">
          <cell r="A49" t="str">
            <v>500000070895</v>
          </cell>
          <cell r="G49">
            <v>41.849196999999997</v>
          </cell>
          <cell r="H49">
            <v>12.4611974</v>
          </cell>
        </row>
        <row r="50">
          <cell r="A50" t="str">
            <v>500000070895</v>
          </cell>
          <cell r="G50">
            <v>41.849196999999997</v>
          </cell>
          <cell r="H50">
            <v>12.4611974</v>
          </cell>
        </row>
        <row r="51">
          <cell r="A51" t="str">
            <v>500000147600</v>
          </cell>
          <cell r="G51">
            <v>41.844964599999997</v>
          </cell>
          <cell r="H51">
            <v>12.4375415</v>
          </cell>
        </row>
        <row r="52">
          <cell r="A52" t="str">
            <v>500000147600</v>
          </cell>
          <cell r="G52">
            <v>41.844964599999997</v>
          </cell>
          <cell r="H52">
            <v>12.4375415</v>
          </cell>
        </row>
        <row r="53">
          <cell r="A53" t="str">
            <v>500000075919</v>
          </cell>
          <cell r="G53">
            <v>41.821498800000001</v>
          </cell>
          <cell r="H53">
            <v>12.394792799999999</v>
          </cell>
        </row>
        <row r="54">
          <cell r="A54" t="str">
            <v>500000072138</v>
          </cell>
          <cell r="G54">
            <v>41.857732400000003</v>
          </cell>
          <cell r="H54">
            <v>12.453292599999999</v>
          </cell>
        </row>
        <row r="55">
          <cell r="A55" t="str">
            <v>500000124526</v>
          </cell>
          <cell r="G55">
            <v>41.836390000000002</v>
          </cell>
          <cell r="H55">
            <v>12.421317</v>
          </cell>
        </row>
        <row r="56">
          <cell r="A56" t="str">
            <v>500000009844</v>
          </cell>
          <cell r="G56">
            <v>41.853992300000002</v>
          </cell>
          <cell r="H56">
            <v>12.4453563</v>
          </cell>
        </row>
        <row r="57">
          <cell r="A57" t="str">
            <v>500000063738</v>
          </cell>
          <cell r="G57">
            <v>41.842198699999997</v>
          </cell>
          <cell r="H57">
            <v>12.441648199999999</v>
          </cell>
        </row>
        <row r="58">
          <cell r="A58" t="str">
            <v>500000009840</v>
          </cell>
          <cell r="G58">
            <v>41.853992300000002</v>
          </cell>
          <cell r="H58">
            <v>12.4453563</v>
          </cell>
        </row>
        <row r="59">
          <cell r="A59" t="str">
            <v>500000120311</v>
          </cell>
          <cell r="G59">
            <v>41.8431517</v>
          </cell>
          <cell r="H59">
            <v>12.436747499999999</v>
          </cell>
        </row>
        <row r="60">
          <cell r="A60" t="str">
            <v>500000123531</v>
          </cell>
          <cell r="G60">
            <v>41.843424800000001</v>
          </cell>
          <cell r="H60">
            <v>12.4382193</v>
          </cell>
        </row>
        <row r="61">
          <cell r="A61" t="str">
            <v>500000038831</v>
          </cell>
          <cell r="G61">
            <v>41.838455099999997</v>
          </cell>
          <cell r="H61">
            <v>12.420400600000001</v>
          </cell>
        </row>
        <row r="62">
          <cell r="A62" t="str">
            <v>500000036008</v>
          </cell>
          <cell r="G62">
            <v>41.843478599999997</v>
          </cell>
          <cell r="H62">
            <v>12.4276889</v>
          </cell>
        </row>
        <row r="63">
          <cell r="A63" t="str">
            <v>500000093867</v>
          </cell>
          <cell r="G63">
            <v>41.842407199999997</v>
          </cell>
          <cell r="H63">
            <v>12.440671</v>
          </cell>
        </row>
        <row r="64">
          <cell r="A64" t="str">
            <v>500000075951</v>
          </cell>
          <cell r="G64">
            <v>41.821498800000001</v>
          </cell>
          <cell r="H64">
            <v>12.394792799999999</v>
          </cell>
        </row>
        <row r="65">
          <cell r="A65" t="str">
            <v>500000147600</v>
          </cell>
          <cell r="G65">
            <v>41.844964599999997</v>
          </cell>
          <cell r="H65">
            <v>12.4375415</v>
          </cell>
        </row>
        <row r="66">
          <cell r="A66" t="str">
            <v>500000107195</v>
          </cell>
          <cell r="G66">
            <v>41.852133799999997</v>
          </cell>
          <cell r="H66">
            <v>12.444683899999999</v>
          </cell>
        </row>
        <row r="67">
          <cell r="A67" t="str">
            <v>500000120323</v>
          </cell>
          <cell r="G67">
            <v>41.8431517</v>
          </cell>
          <cell r="H67">
            <v>12.436747499999999</v>
          </cell>
        </row>
        <row r="68">
          <cell r="A68" t="str">
            <v>500000124510</v>
          </cell>
          <cell r="G68">
            <v>41.836390000000002</v>
          </cell>
          <cell r="H68">
            <v>12.421317</v>
          </cell>
        </row>
        <row r="69">
          <cell r="A69" t="str">
            <v>500000083035</v>
          </cell>
          <cell r="G69">
            <v>41.845074400000001</v>
          </cell>
          <cell r="H69">
            <v>12.4281592</v>
          </cell>
        </row>
        <row r="70">
          <cell r="A70" t="str">
            <v>500000083040</v>
          </cell>
          <cell r="G70">
            <v>41.845074400000001</v>
          </cell>
          <cell r="H70">
            <v>12.4281592</v>
          </cell>
        </row>
        <row r="71">
          <cell r="A71" t="str">
            <v>500000083033</v>
          </cell>
          <cell r="G71">
            <v>41.845074400000001</v>
          </cell>
          <cell r="H71">
            <v>12.4281592</v>
          </cell>
        </row>
        <row r="72">
          <cell r="A72" t="str">
            <v>500000032914</v>
          </cell>
          <cell r="G72">
            <v>41.859758599999999</v>
          </cell>
          <cell r="H72">
            <v>12.419367100000001</v>
          </cell>
        </row>
        <row r="73">
          <cell r="A73" t="str">
            <v>500000032914</v>
          </cell>
          <cell r="G73">
            <v>41.859758599999999</v>
          </cell>
          <cell r="H73">
            <v>12.419367100000001</v>
          </cell>
        </row>
        <row r="74">
          <cell r="A74" t="str">
            <v>500000032907</v>
          </cell>
          <cell r="G74">
            <v>41.859758599999999</v>
          </cell>
          <cell r="H74">
            <v>12.419367100000001</v>
          </cell>
        </row>
        <row r="75">
          <cell r="A75" t="str">
            <v>500000032907</v>
          </cell>
          <cell r="G75">
            <v>41.859758599999999</v>
          </cell>
          <cell r="H75">
            <v>12.419367100000001</v>
          </cell>
        </row>
        <row r="76">
          <cell r="A76" t="str">
            <v>500000032913</v>
          </cell>
          <cell r="G76">
            <v>41.859758599999999</v>
          </cell>
          <cell r="H76">
            <v>12.419367100000001</v>
          </cell>
        </row>
        <row r="77">
          <cell r="A77" t="str">
            <v>500000032913</v>
          </cell>
          <cell r="G77">
            <v>41.859758599999999</v>
          </cell>
          <cell r="H77">
            <v>12.419367100000001</v>
          </cell>
        </row>
        <row r="78">
          <cell r="A78" t="str">
            <v>500000096245</v>
          </cell>
          <cell r="G78">
            <v>41.852738500000001</v>
          </cell>
          <cell r="H78">
            <v>12.4131214</v>
          </cell>
        </row>
        <row r="79">
          <cell r="A79" t="str">
            <v>500000096249</v>
          </cell>
          <cell r="G79">
            <v>41.852738500000001</v>
          </cell>
          <cell r="H79">
            <v>12.4131214</v>
          </cell>
        </row>
        <row r="80">
          <cell r="A80" t="str">
            <v>500000096251</v>
          </cell>
          <cell r="G80">
            <v>41.852738500000001</v>
          </cell>
          <cell r="H80">
            <v>12.4131214</v>
          </cell>
        </row>
        <row r="81">
          <cell r="A81" t="str">
            <v>500000096251</v>
          </cell>
          <cell r="G81">
            <v>41.852738500000001</v>
          </cell>
          <cell r="H81">
            <v>12.4131214</v>
          </cell>
        </row>
        <row r="82">
          <cell r="A82" t="str">
            <v>500000096245</v>
          </cell>
          <cell r="G82">
            <v>41.852738500000001</v>
          </cell>
          <cell r="H82">
            <v>12.4131214</v>
          </cell>
        </row>
        <row r="83">
          <cell r="A83" t="str">
            <v>500000130443</v>
          </cell>
          <cell r="G83">
            <v>41.823333099999999</v>
          </cell>
          <cell r="H83">
            <v>12.4139968</v>
          </cell>
        </row>
        <row r="84">
          <cell r="A84" t="str">
            <v>500000093220</v>
          </cell>
          <cell r="G84">
            <v>41.849848999999999</v>
          </cell>
          <cell r="H84">
            <v>12.4611266</v>
          </cell>
        </row>
        <row r="85">
          <cell r="A85" t="str">
            <v>500000173021</v>
          </cell>
          <cell r="G85">
            <v>41.828956900000001</v>
          </cell>
          <cell r="H85">
            <v>12.3935312</v>
          </cell>
        </row>
        <row r="86">
          <cell r="A86" t="str">
            <v>500000173021</v>
          </cell>
          <cell r="G86">
            <v>41.828956900000001</v>
          </cell>
          <cell r="H86">
            <v>12.3935312</v>
          </cell>
        </row>
        <row r="87">
          <cell r="A87" t="str">
            <v>500000173021</v>
          </cell>
          <cell r="G87">
            <v>41.828956900000001</v>
          </cell>
          <cell r="H87">
            <v>12.3935312</v>
          </cell>
        </row>
        <row r="88">
          <cell r="A88" t="str">
            <v>500000094004</v>
          </cell>
          <cell r="G88">
            <v>41.861766099999002</v>
          </cell>
          <cell r="H88">
            <v>12.470821000000001</v>
          </cell>
        </row>
        <row r="89">
          <cell r="A89" t="str">
            <v>500000067765</v>
          </cell>
          <cell r="G89">
            <v>41.870566699999998</v>
          </cell>
          <cell r="H89">
            <v>12.4634237</v>
          </cell>
        </row>
        <row r="90">
          <cell r="A90" t="str">
            <v>500000069436</v>
          </cell>
          <cell r="G90">
            <v>41.850358300000003</v>
          </cell>
          <cell r="H90">
            <v>12.4457421</v>
          </cell>
        </row>
        <row r="91">
          <cell r="A91" t="str">
            <v>500000061450</v>
          </cell>
          <cell r="G91">
            <v>41.857109999999999</v>
          </cell>
          <cell r="H91">
            <v>12.4542901</v>
          </cell>
        </row>
        <row r="92">
          <cell r="A92" t="str">
            <v>500000099775</v>
          </cell>
          <cell r="G92">
            <v>41.855813499999996</v>
          </cell>
          <cell r="H92">
            <v>12.450601900000001</v>
          </cell>
        </row>
        <row r="93">
          <cell r="A93" t="str">
            <v>500000205622</v>
          </cell>
          <cell r="G93">
            <v>41.870023699999997</v>
          </cell>
          <cell r="H93">
            <v>12.4672248</v>
          </cell>
        </row>
        <row r="94">
          <cell r="A94" t="str">
            <v>500000205622</v>
          </cell>
          <cell r="G94">
            <v>41.870023699999997</v>
          </cell>
          <cell r="H94">
            <v>12.4672248</v>
          </cell>
        </row>
        <row r="95">
          <cell r="A95" t="str">
            <v>500000073554</v>
          </cell>
          <cell r="G95">
            <v>41.8638707</v>
          </cell>
          <cell r="H95">
            <v>12.4733328</v>
          </cell>
        </row>
        <row r="96">
          <cell r="A96" t="str">
            <v>500000016713</v>
          </cell>
          <cell r="G96">
            <v>41.8621853</v>
          </cell>
          <cell r="H96">
            <v>12.4689797</v>
          </cell>
        </row>
        <row r="97">
          <cell r="A97" t="str">
            <v>500000073554</v>
          </cell>
          <cell r="G97">
            <v>41.8638707</v>
          </cell>
          <cell r="H97">
            <v>12.4733328</v>
          </cell>
        </row>
        <row r="98">
          <cell r="A98" t="str">
            <v>500000064898</v>
          </cell>
          <cell r="G98">
            <v>41.8640002</v>
          </cell>
          <cell r="H98">
            <v>12.4665342</v>
          </cell>
        </row>
        <row r="99">
          <cell r="A99" t="str">
            <v>500000087654</v>
          </cell>
          <cell r="G99">
            <v>41.8635965</v>
          </cell>
          <cell r="H99">
            <v>12.464426700000001</v>
          </cell>
        </row>
        <row r="100">
          <cell r="A100" t="str">
            <v>500000016457</v>
          </cell>
          <cell r="G100">
            <v>41.862337599999996</v>
          </cell>
          <cell r="H100">
            <v>12.463844</v>
          </cell>
        </row>
        <row r="101">
          <cell r="A101" t="str">
            <v>500000047226</v>
          </cell>
          <cell r="G101">
            <v>41.864571099999999</v>
          </cell>
          <cell r="H101">
            <v>12.472239800000001</v>
          </cell>
        </row>
        <row r="102">
          <cell r="A102" t="str">
            <v>500000059426</v>
          </cell>
          <cell r="G102">
            <v>41.862639000000001</v>
          </cell>
          <cell r="H102">
            <v>12.4655162</v>
          </cell>
        </row>
        <row r="103">
          <cell r="A103" t="str">
            <v>500000059423</v>
          </cell>
          <cell r="G103">
            <v>41.862639000000001</v>
          </cell>
          <cell r="H103">
            <v>12.4655162</v>
          </cell>
        </row>
        <row r="104">
          <cell r="A104" t="str">
            <v>500000059424</v>
          </cell>
          <cell r="G104">
            <v>41.862639000000001</v>
          </cell>
          <cell r="H104">
            <v>12.4655162</v>
          </cell>
        </row>
        <row r="105">
          <cell r="A105" t="str">
            <v>500000125615</v>
          </cell>
          <cell r="G105">
            <v>41.862491400000003</v>
          </cell>
          <cell r="H105">
            <v>12.4672968</v>
          </cell>
        </row>
        <row r="106">
          <cell r="A106" t="str">
            <v>500000110843</v>
          </cell>
          <cell r="G106">
            <v>41.862604599999997</v>
          </cell>
          <cell r="H106">
            <v>12.471681</v>
          </cell>
        </row>
        <row r="107">
          <cell r="A107" t="str">
            <v>500000125614</v>
          </cell>
          <cell r="G107">
            <v>41.862491400000003</v>
          </cell>
          <cell r="H107">
            <v>12.4672968</v>
          </cell>
        </row>
        <row r="108">
          <cell r="A108" t="str">
            <v>500000055972</v>
          </cell>
          <cell r="G108">
            <v>41.864790599999999</v>
          </cell>
          <cell r="H108">
            <v>12.4679225</v>
          </cell>
        </row>
        <row r="109">
          <cell r="A109" t="str">
            <v>500000087648</v>
          </cell>
          <cell r="G109">
            <v>41.8635965</v>
          </cell>
          <cell r="H109">
            <v>12.464426700000001</v>
          </cell>
        </row>
        <row r="110">
          <cell r="A110" t="str">
            <v>500000055982</v>
          </cell>
          <cell r="G110">
            <v>41.864790599999999</v>
          </cell>
          <cell r="H110">
            <v>12.4679225</v>
          </cell>
        </row>
        <row r="111">
          <cell r="A111" t="str">
            <v>500000024168</v>
          </cell>
          <cell r="G111">
            <v>41.867123999999997</v>
          </cell>
          <cell r="H111">
            <v>12.467258899999999</v>
          </cell>
        </row>
        <row r="112">
          <cell r="A112" t="str">
            <v>500000100774</v>
          </cell>
          <cell r="G112">
            <v>41.870023699999997</v>
          </cell>
          <cell r="H112">
            <v>12.4672248</v>
          </cell>
        </row>
        <row r="113">
          <cell r="A113" t="str">
            <v>500000025636</v>
          </cell>
          <cell r="G113">
            <v>41.853047799999999</v>
          </cell>
          <cell r="H113">
            <v>12.4285136</v>
          </cell>
        </row>
        <row r="114">
          <cell r="A114" t="str">
            <v>500000097859</v>
          </cell>
          <cell r="G114">
            <v>41.870518400000002</v>
          </cell>
          <cell r="H114">
            <v>12.4653882</v>
          </cell>
        </row>
        <row r="115">
          <cell r="A115" t="str">
            <v>500000150190</v>
          </cell>
          <cell r="G115">
            <v>41.856881700000002</v>
          </cell>
          <cell r="H115">
            <v>12.4290529</v>
          </cell>
        </row>
        <row r="116">
          <cell r="A116" t="str">
            <v>500000061711</v>
          </cell>
          <cell r="G116">
            <v>41.8599836</v>
          </cell>
          <cell r="H116">
            <v>12.452554900000001</v>
          </cell>
        </row>
        <row r="117">
          <cell r="A117" t="str">
            <v>500000086512</v>
          </cell>
          <cell r="G117">
            <v>41.862243599999999</v>
          </cell>
          <cell r="H117">
            <v>12.460785599999999</v>
          </cell>
        </row>
        <row r="118">
          <cell r="A118" t="str">
            <v>500000065784</v>
          </cell>
          <cell r="G118">
            <v>41.860600599999998</v>
          </cell>
          <cell r="H118">
            <v>12.452281899999999</v>
          </cell>
        </row>
        <row r="119">
          <cell r="A119" t="str">
            <v>500000047133</v>
          </cell>
          <cell r="G119">
            <v>41.859523299999999</v>
          </cell>
          <cell r="H119">
            <v>12.4548323</v>
          </cell>
        </row>
        <row r="120">
          <cell r="A120" t="str">
            <v>500000019221</v>
          </cell>
          <cell r="G120">
            <v>41.861824900000002</v>
          </cell>
          <cell r="H120">
            <v>12.453670799999999</v>
          </cell>
        </row>
        <row r="121">
          <cell r="A121" t="str">
            <v>500000071808</v>
          </cell>
          <cell r="G121">
            <v>41.863008100000002</v>
          </cell>
          <cell r="H121">
            <v>12.459636400000001</v>
          </cell>
        </row>
        <row r="122">
          <cell r="A122" t="str">
            <v>500000205370</v>
          </cell>
          <cell r="G122">
            <v>41.867367600000001</v>
          </cell>
          <cell r="H122">
            <v>12.471613400000001</v>
          </cell>
        </row>
        <row r="123">
          <cell r="A123" t="str">
            <v>500000100616</v>
          </cell>
          <cell r="G123">
            <v>41.867226500000001</v>
          </cell>
          <cell r="H123">
            <v>12.4627888</v>
          </cell>
        </row>
        <row r="124">
          <cell r="A124" t="str">
            <v>500000056297</v>
          </cell>
          <cell r="G124">
            <v>41.858873600000003</v>
          </cell>
          <cell r="H124">
            <v>12.4541868</v>
          </cell>
        </row>
        <row r="125">
          <cell r="A125" t="str">
            <v>500000100623</v>
          </cell>
          <cell r="G125">
            <v>41.867226500000001</v>
          </cell>
          <cell r="H125">
            <v>12.4627888</v>
          </cell>
        </row>
        <row r="126">
          <cell r="A126" t="str">
            <v>500000094974</v>
          </cell>
          <cell r="G126">
            <v>41.8583189</v>
          </cell>
          <cell r="H126">
            <v>12.451320600000001</v>
          </cell>
        </row>
        <row r="127">
          <cell r="A127" t="str">
            <v>500000097810</v>
          </cell>
          <cell r="G127">
            <v>41.870518400000002</v>
          </cell>
          <cell r="H127">
            <v>12.4653882</v>
          </cell>
        </row>
        <row r="128">
          <cell r="A128" t="str">
            <v>500000097796</v>
          </cell>
          <cell r="G128">
            <v>41.870518400000002</v>
          </cell>
          <cell r="H128">
            <v>12.4653882</v>
          </cell>
        </row>
        <row r="129">
          <cell r="A129" t="str">
            <v>500000205655</v>
          </cell>
          <cell r="G129">
            <v>41.857723200000002</v>
          </cell>
          <cell r="H129">
            <v>12.450469</v>
          </cell>
        </row>
        <row r="130">
          <cell r="A130" t="str">
            <v>500000099773</v>
          </cell>
          <cell r="G130">
            <v>41.855813499999996</v>
          </cell>
          <cell r="H130">
            <v>12.450601900000001</v>
          </cell>
        </row>
        <row r="131">
          <cell r="A131" t="str">
            <v>500000097757</v>
          </cell>
          <cell r="G131">
            <v>41.870518400000002</v>
          </cell>
          <cell r="H131">
            <v>12.4653882</v>
          </cell>
        </row>
        <row r="132">
          <cell r="A132" t="str">
            <v>500000203748</v>
          </cell>
          <cell r="G132">
            <v>41.870657799999996</v>
          </cell>
          <cell r="H132">
            <v>12.4618869</v>
          </cell>
        </row>
        <row r="133">
          <cell r="A133" t="str">
            <v>500000093871</v>
          </cell>
          <cell r="G133">
            <v>41.8545655</v>
          </cell>
          <cell r="H133">
            <v>12.452363</v>
          </cell>
        </row>
        <row r="134">
          <cell r="A134" t="str">
            <v>500000204150</v>
          </cell>
          <cell r="G134">
            <v>41.854479699999999</v>
          </cell>
          <cell r="H134">
            <v>12.450822499999999</v>
          </cell>
        </row>
        <row r="135">
          <cell r="A135" t="str">
            <v>500000015821</v>
          </cell>
          <cell r="G135">
            <v>41.8604068</v>
          </cell>
          <cell r="H135">
            <v>12.455799900000001</v>
          </cell>
        </row>
        <row r="136">
          <cell r="A136" t="str">
            <v>500000125826</v>
          </cell>
          <cell r="G136">
            <v>41.854479699999999</v>
          </cell>
          <cell r="H136">
            <v>12.450822499999999</v>
          </cell>
        </row>
        <row r="137">
          <cell r="A137" t="str">
            <v>500000015821</v>
          </cell>
          <cell r="G137">
            <v>41.8604068</v>
          </cell>
          <cell r="H137">
            <v>12.455799900000001</v>
          </cell>
        </row>
        <row r="138">
          <cell r="A138" t="str">
            <v>500000034428</v>
          </cell>
          <cell r="G138">
            <v>41.8480366</v>
          </cell>
          <cell r="H138">
            <v>12.462700699999999</v>
          </cell>
        </row>
        <row r="139">
          <cell r="A139" t="str">
            <v>500000039408</v>
          </cell>
          <cell r="G139">
            <v>41.845775000000003</v>
          </cell>
          <cell r="H139">
            <v>12.457798500000001</v>
          </cell>
        </row>
        <row r="140">
          <cell r="A140" t="str">
            <v>500000039409</v>
          </cell>
          <cell r="G140">
            <v>41.845775000000003</v>
          </cell>
          <cell r="H140">
            <v>12.457798500000001</v>
          </cell>
        </row>
        <row r="141">
          <cell r="A141" t="str">
            <v>500000110795</v>
          </cell>
          <cell r="G141">
            <v>41.848885099999997</v>
          </cell>
          <cell r="H141">
            <v>12.4638267</v>
          </cell>
        </row>
        <row r="142">
          <cell r="A142" t="str">
            <v>500000204072</v>
          </cell>
          <cell r="G142">
            <v>41.848885099999997</v>
          </cell>
          <cell r="H142">
            <v>12.4638267</v>
          </cell>
        </row>
        <row r="143">
          <cell r="A143" t="str">
            <v>500000070894</v>
          </cell>
          <cell r="G143">
            <v>41.849196999999997</v>
          </cell>
          <cell r="H143">
            <v>12.4611974</v>
          </cell>
        </row>
        <row r="144">
          <cell r="A144" t="str">
            <v>500000075908</v>
          </cell>
          <cell r="G144">
            <v>41.821498800000001</v>
          </cell>
          <cell r="H144">
            <v>12.394792799999999</v>
          </cell>
        </row>
        <row r="145">
          <cell r="A145" t="str">
            <v>500000075919</v>
          </cell>
          <cell r="G145">
            <v>41.821498800000001</v>
          </cell>
          <cell r="H145">
            <v>12.394792799999999</v>
          </cell>
        </row>
        <row r="146">
          <cell r="A146" t="str">
            <v>500000075921</v>
          </cell>
          <cell r="G146">
            <v>41.821498800000001</v>
          </cell>
          <cell r="H146">
            <v>12.394792799999999</v>
          </cell>
        </row>
        <row r="147">
          <cell r="A147" t="str">
            <v>500000083211</v>
          </cell>
          <cell r="G147">
            <v>41.844543299999998</v>
          </cell>
          <cell r="H147">
            <v>12.4381301</v>
          </cell>
        </row>
        <row r="148">
          <cell r="A148" t="str">
            <v>500000069907</v>
          </cell>
          <cell r="G148">
            <v>41.858709050000002</v>
          </cell>
          <cell r="H148">
            <v>12.449606810000001</v>
          </cell>
        </row>
        <row r="149">
          <cell r="A149" t="str">
            <v>500000124510</v>
          </cell>
          <cell r="G149">
            <v>41.836390000000002</v>
          </cell>
          <cell r="H149">
            <v>12.421317</v>
          </cell>
        </row>
        <row r="150">
          <cell r="A150" t="str">
            <v>500000124510</v>
          </cell>
          <cell r="G150">
            <v>41.836390000000002</v>
          </cell>
          <cell r="H150">
            <v>12.421317</v>
          </cell>
        </row>
        <row r="151">
          <cell r="A151" t="str">
            <v>500000120330</v>
          </cell>
          <cell r="G151">
            <v>41.8431517</v>
          </cell>
          <cell r="H151">
            <v>12.436747499999999</v>
          </cell>
        </row>
        <row r="152">
          <cell r="A152" t="str">
            <v>500000159078</v>
          </cell>
          <cell r="G152">
            <v>41.848308400000001</v>
          </cell>
          <cell r="H152">
            <v>12.4460753</v>
          </cell>
        </row>
        <row r="153">
          <cell r="A153" t="str">
            <v>500000036008</v>
          </cell>
          <cell r="G153">
            <v>41.843478599999997</v>
          </cell>
          <cell r="H153">
            <v>12.4276889</v>
          </cell>
        </row>
        <row r="154">
          <cell r="A154" t="str">
            <v>500000038829</v>
          </cell>
          <cell r="G154">
            <v>41.838455099999997</v>
          </cell>
          <cell r="H154">
            <v>12.420400600000001</v>
          </cell>
        </row>
        <row r="155">
          <cell r="A155" t="str">
            <v>500000063735</v>
          </cell>
          <cell r="G155">
            <v>41.842198699999997</v>
          </cell>
          <cell r="H155">
            <v>12.441648199999999</v>
          </cell>
        </row>
        <row r="156">
          <cell r="A156" t="str">
            <v>500000063737</v>
          </cell>
          <cell r="G156">
            <v>41.842198699999997</v>
          </cell>
          <cell r="H156">
            <v>12.441648199999999</v>
          </cell>
        </row>
        <row r="157">
          <cell r="A157" t="str">
            <v>500000063735</v>
          </cell>
          <cell r="G157">
            <v>41.842198699999997</v>
          </cell>
          <cell r="H157">
            <v>12.441648199999999</v>
          </cell>
        </row>
        <row r="158">
          <cell r="A158" t="str">
            <v>500000075944</v>
          </cell>
          <cell r="G158">
            <v>41.821498800000001</v>
          </cell>
          <cell r="H158">
            <v>12.394792799999999</v>
          </cell>
        </row>
        <row r="159">
          <cell r="A159" t="str">
            <v>500000009843</v>
          </cell>
          <cell r="G159">
            <v>41.853992300000002</v>
          </cell>
          <cell r="H159">
            <v>12.4453563</v>
          </cell>
        </row>
        <row r="160">
          <cell r="A160" t="str">
            <v>500000107196</v>
          </cell>
          <cell r="G160">
            <v>41.852133799999997</v>
          </cell>
          <cell r="H160">
            <v>12.444683899999999</v>
          </cell>
        </row>
        <row r="161">
          <cell r="A161" t="str">
            <v>500000120315</v>
          </cell>
          <cell r="G161">
            <v>41.8431517</v>
          </cell>
          <cell r="H161">
            <v>12.436747499999999</v>
          </cell>
        </row>
        <row r="162">
          <cell r="A162" t="str">
            <v>500000107195</v>
          </cell>
          <cell r="G162">
            <v>41.852133799999997</v>
          </cell>
          <cell r="H162">
            <v>12.444683899999999</v>
          </cell>
        </row>
        <row r="163">
          <cell r="A163" t="str">
            <v>500000204006</v>
          </cell>
          <cell r="G163">
            <v>41.870518400000002</v>
          </cell>
          <cell r="H163">
            <v>12.4653882</v>
          </cell>
        </row>
        <row r="164">
          <cell r="A164" t="str">
            <v>500000203597</v>
          </cell>
          <cell r="G164">
            <v>41.859758599999999</v>
          </cell>
          <cell r="H164">
            <v>12.419367100000001</v>
          </cell>
        </row>
        <row r="165">
          <cell r="A165" t="str">
            <v>500000203597</v>
          </cell>
          <cell r="G165">
            <v>41.859758599999999</v>
          </cell>
          <cell r="H165">
            <v>12.419367100000001</v>
          </cell>
        </row>
        <row r="166">
          <cell r="A166" t="str">
            <v>500000014537</v>
          </cell>
          <cell r="G166">
            <v>41.858801</v>
          </cell>
          <cell r="H166">
            <v>12.4178953</v>
          </cell>
        </row>
        <row r="167">
          <cell r="A167" t="str">
            <v>500000032912</v>
          </cell>
          <cell r="G167">
            <v>41.859758599999999</v>
          </cell>
          <cell r="H167">
            <v>12.419367100000001</v>
          </cell>
        </row>
        <row r="168">
          <cell r="A168" t="str">
            <v>500000032912</v>
          </cell>
          <cell r="G168">
            <v>41.859758599999999</v>
          </cell>
          <cell r="H168">
            <v>12.419367100000001</v>
          </cell>
        </row>
        <row r="169">
          <cell r="A169" t="str">
            <v>500000032892</v>
          </cell>
          <cell r="G169">
            <v>41.859758599999999</v>
          </cell>
          <cell r="H169">
            <v>12.419367100000001</v>
          </cell>
        </row>
        <row r="170">
          <cell r="A170" t="str">
            <v>500000032892</v>
          </cell>
          <cell r="G170">
            <v>41.859758599999999</v>
          </cell>
          <cell r="H170">
            <v>12.419367100000001</v>
          </cell>
        </row>
        <row r="171">
          <cell r="A171" t="str">
            <v>500000014534</v>
          </cell>
          <cell r="G171">
            <v>41.858801</v>
          </cell>
          <cell r="H171">
            <v>12.4178953</v>
          </cell>
        </row>
        <row r="172">
          <cell r="A172" t="str">
            <v>500000177649</v>
          </cell>
          <cell r="G172">
            <v>41.855792200000003</v>
          </cell>
          <cell r="H172">
            <v>12.4143522</v>
          </cell>
        </row>
        <row r="173">
          <cell r="A173" t="str">
            <v>500000177649</v>
          </cell>
          <cell r="G173">
            <v>41.855792200000003</v>
          </cell>
          <cell r="H173">
            <v>12.4143522</v>
          </cell>
        </row>
        <row r="174">
          <cell r="A174" t="str">
            <v>500000096249</v>
          </cell>
          <cell r="G174">
            <v>41.852738500000001</v>
          </cell>
          <cell r="H174">
            <v>12.4131214</v>
          </cell>
        </row>
        <row r="175">
          <cell r="A175" t="str">
            <v>500000096251</v>
          </cell>
          <cell r="G175">
            <v>41.852738500000001</v>
          </cell>
          <cell r="H175">
            <v>12.4131214</v>
          </cell>
        </row>
        <row r="176">
          <cell r="A176" t="str">
            <v>500000096251</v>
          </cell>
          <cell r="G176">
            <v>41.852738500000001</v>
          </cell>
          <cell r="H176">
            <v>12.4131214</v>
          </cell>
        </row>
        <row r="177">
          <cell r="A177" t="str">
            <v>500000173021</v>
          </cell>
          <cell r="G177">
            <v>41.828956900000001</v>
          </cell>
          <cell r="H177">
            <v>12.3935312</v>
          </cell>
        </row>
        <row r="178">
          <cell r="A178" t="str">
            <v>500000173021</v>
          </cell>
          <cell r="G178">
            <v>41.828956900000001</v>
          </cell>
          <cell r="H178">
            <v>12.3935312</v>
          </cell>
        </row>
        <row r="179">
          <cell r="A179" t="str">
            <v>500000110845</v>
          </cell>
          <cell r="G179">
            <v>41.862604599999997</v>
          </cell>
          <cell r="H179">
            <v>12.471681</v>
          </cell>
        </row>
        <row r="180">
          <cell r="A180" t="str">
            <v>500000075930</v>
          </cell>
          <cell r="G180">
            <v>41.821498800000001</v>
          </cell>
          <cell r="H180">
            <v>12.394792799999999</v>
          </cell>
        </row>
        <row r="181">
          <cell r="A181" t="str">
            <v>500000265377</v>
          </cell>
          <cell r="G181">
            <v>41.850358300000003</v>
          </cell>
          <cell r="H181">
            <v>12.4457421</v>
          </cell>
        </row>
        <row r="182">
          <cell r="A182" t="str">
            <v>500000265377</v>
          </cell>
          <cell r="G182">
            <v>41.850358300000003</v>
          </cell>
          <cell r="H182">
            <v>12.4457421</v>
          </cell>
        </row>
        <row r="183">
          <cell r="A183" t="str">
            <v>500000108178</v>
          </cell>
          <cell r="G183">
            <v>41.844357299999999</v>
          </cell>
          <cell r="H183">
            <v>12.4568061</v>
          </cell>
        </row>
        <row r="184">
          <cell r="A184" t="str">
            <v>500000265413</v>
          </cell>
          <cell r="G184">
            <v>41.851454799999999</v>
          </cell>
          <cell r="H184">
            <v>12.4193654</v>
          </cell>
        </row>
        <row r="185">
          <cell r="A185" t="str">
            <v>500000205635</v>
          </cell>
          <cell r="G185">
            <v>41.870657799999996</v>
          </cell>
          <cell r="H185">
            <v>12.4618869</v>
          </cell>
        </row>
        <row r="186">
          <cell r="A186" t="str">
            <v>500000205635</v>
          </cell>
          <cell r="G186">
            <v>41.870657799999996</v>
          </cell>
          <cell r="H186">
            <v>12.4618869</v>
          </cell>
        </row>
        <row r="187">
          <cell r="A187" t="str">
            <v>500000214929</v>
          </cell>
          <cell r="G187">
            <v>41.8431517</v>
          </cell>
          <cell r="H187">
            <v>12.436747499999999</v>
          </cell>
        </row>
        <row r="188">
          <cell r="A188" t="str">
            <v>500000214929</v>
          </cell>
          <cell r="G188">
            <v>41.8431517</v>
          </cell>
          <cell r="H188">
            <v>12.436747499999999</v>
          </cell>
        </row>
        <row r="189">
          <cell r="A189" t="str">
            <v>500000047219</v>
          </cell>
          <cell r="G189">
            <v>41.864205499999997</v>
          </cell>
          <cell r="H189">
            <v>12.4692943</v>
          </cell>
        </row>
        <row r="190">
          <cell r="A190" t="str">
            <v>500000068602</v>
          </cell>
          <cell r="G190">
            <v>41.8652266</v>
          </cell>
          <cell r="H190">
            <v>12.4692645</v>
          </cell>
        </row>
        <row r="191">
          <cell r="A191" t="str">
            <v>500000176153</v>
          </cell>
          <cell r="G191">
            <v>41.871608899999998</v>
          </cell>
          <cell r="H191">
            <v>12.470659299999999</v>
          </cell>
        </row>
        <row r="192">
          <cell r="A192" t="str">
            <v>500000094006</v>
          </cell>
          <cell r="G192">
            <v>41.865532999999999</v>
          </cell>
          <cell r="H192">
            <v>12.4750234</v>
          </cell>
        </row>
        <row r="193">
          <cell r="A193" t="str">
            <v>500000073552</v>
          </cell>
          <cell r="G193">
            <v>41.8638707</v>
          </cell>
          <cell r="H193">
            <v>12.4733328</v>
          </cell>
        </row>
        <row r="194">
          <cell r="A194" t="str">
            <v>500000094008</v>
          </cell>
          <cell r="G194">
            <v>41.865532999999999</v>
          </cell>
          <cell r="H194">
            <v>12.4750234</v>
          </cell>
        </row>
        <row r="195">
          <cell r="A195" t="str">
            <v>500000069616</v>
          </cell>
          <cell r="G195">
            <v>41.861012600000002</v>
          </cell>
          <cell r="H195">
            <v>12.465145700000001</v>
          </cell>
        </row>
        <row r="196">
          <cell r="A196" t="str">
            <v>500000043855</v>
          </cell>
          <cell r="G196">
            <v>41.862655799999999</v>
          </cell>
          <cell r="H196">
            <v>12.467973499999999</v>
          </cell>
        </row>
        <row r="197">
          <cell r="A197" t="str">
            <v>500000047224</v>
          </cell>
          <cell r="G197">
            <v>41.864571099999999</v>
          </cell>
          <cell r="H197">
            <v>12.472239800000001</v>
          </cell>
        </row>
        <row r="198">
          <cell r="A198" t="str">
            <v>500000047221</v>
          </cell>
          <cell r="G198">
            <v>41.864571099999999</v>
          </cell>
          <cell r="H198">
            <v>12.472239800000001</v>
          </cell>
        </row>
        <row r="199">
          <cell r="A199" t="str">
            <v>500000087658</v>
          </cell>
          <cell r="G199">
            <v>41.8635965</v>
          </cell>
          <cell r="H199">
            <v>12.464426700000001</v>
          </cell>
        </row>
        <row r="200">
          <cell r="A200" t="str">
            <v>500000047229</v>
          </cell>
          <cell r="G200">
            <v>41.864571099999999</v>
          </cell>
          <cell r="H200">
            <v>12.472239800000001</v>
          </cell>
        </row>
        <row r="201">
          <cell r="A201" t="str">
            <v>500000125618</v>
          </cell>
          <cell r="G201">
            <v>41.862491400000003</v>
          </cell>
          <cell r="H201">
            <v>12.4672968</v>
          </cell>
        </row>
        <row r="202">
          <cell r="A202" t="str">
            <v>500000059428</v>
          </cell>
          <cell r="G202">
            <v>41.862639000000001</v>
          </cell>
          <cell r="H202">
            <v>12.4655162</v>
          </cell>
        </row>
        <row r="203">
          <cell r="A203" t="str">
            <v>500000047228</v>
          </cell>
          <cell r="G203">
            <v>41.864571099999999</v>
          </cell>
          <cell r="H203">
            <v>12.472239800000001</v>
          </cell>
        </row>
        <row r="204">
          <cell r="A204" t="str">
            <v>500000087658</v>
          </cell>
          <cell r="G204">
            <v>41.8635965</v>
          </cell>
          <cell r="H204">
            <v>12.464426700000001</v>
          </cell>
        </row>
        <row r="205">
          <cell r="A205" t="str">
            <v>500000087640</v>
          </cell>
          <cell r="G205">
            <v>41.8635965</v>
          </cell>
          <cell r="H205">
            <v>12.464426700000001</v>
          </cell>
        </row>
        <row r="206">
          <cell r="A206" t="str">
            <v>500000087651</v>
          </cell>
          <cell r="G206">
            <v>41.8635965</v>
          </cell>
          <cell r="H206">
            <v>12.464426700000001</v>
          </cell>
        </row>
        <row r="207">
          <cell r="A207" t="str">
            <v>500000097857</v>
          </cell>
          <cell r="G207">
            <v>41.870518400000002</v>
          </cell>
          <cell r="H207">
            <v>12.4653882</v>
          </cell>
        </row>
        <row r="208">
          <cell r="A208" t="str">
            <v>500000010205</v>
          </cell>
          <cell r="G208">
            <v>41.85998</v>
          </cell>
          <cell r="H208">
            <v>12.434444600000001</v>
          </cell>
        </row>
        <row r="209">
          <cell r="A209" t="str">
            <v>500000032918</v>
          </cell>
          <cell r="G209">
            <v>41.859758599999999</v>
          </cell>
          <cell r="H209">
            <v>12.419367100000001</v>
          </cell>
        </row>
        <row r="210">
          <cell r="A210" t="str">
            <v>500000032918</v>
          </cell>
          <cell r="G210">
            <v>41.859758599999999</v>
          </cell>
          <cell r="H210">
            <v>12.419367100000001</v>
          </cell>
        </row>
        <row r="211">
          <cell r="A211" t="str">
            <v>500000032929</v>
          </cell>
          <cell r="G211">
            <v>41.859758599999999</v>
          </cell>
          <cell r="H211">
            <v>12.419367100000001</v>
          </cell>
        </row>
        <row r="212">
          <cell r="A212" t="str">
            <v>500000032929</v>
          </cell>
          <cell r="G212">
            <v>41.859758599999999</v>
          </cell>
          <cell r="H212">
            <v>12.419367100000001</v>
          </cell>
        </row>
        <row r="213">
          <cell r="A213" t="str">
            <v>500000048850</v>
          </cell>
          <cell r="G213">
            <v>41.863948600000001</v>
          </cell>
          <cell r="H213">
            <v>12.4598213</v>
          </cell>
        </row>
        <row r="214">
          <cell r="A214" t="str">
            <v>500000124492</v>
          </cell>
          <cell r="G214">
            <v>41.863396600000002</v>
          </cell>
          <cell r="H214">
            <v>12.4591963</v>
          </cell>
        </row>
        <row r="215">
          <cell r="A215" t="str">
            <v>500000066278</v>
          </cell>
          <cell r="G215">
            <v>41.859755</v>
          </cell>
          <cell r="H215">
            <v>12.4579895</v>
          </cell>
        </row>
        <row r="216">
          <cell r="A216" t="str">
            <v>500000058111</v>
          </cell>
          <cell r="G216">
            <v>41.858534300000002</v>
          </cell>
          <cell r="H216">
            <v>12.458538300000001</v>
          </cell>
        </row>
        <row r="217">
          <cell r="A217" t="str">
            <v>500000009890</v>
          </cell>
          <cell r="G217">
            <v>41.863130499999997</v>
          </cell>
          <cell r="H217">
            <v>12.458665</v>
          </cell>
        </row>
        <row r="218">
          <cell r="A218" t="str">
            <v>500000086511</v>
          </cell>
          <cell r="G218">
            <v>41.862243599999999</v>
          </cell>
          <cell r="H218">
            <v>12.460785599999999</v>
          </cell>
        </row>
        <row r="219">
          <cell r="A219" t="str">
            <v>500000065784</v>
          </cell>
          <cell r="G219">
            <v>41.860600599999998</v>
          </cell>
          <cell r="H219">
            <v>12.452281899999999</v>
          </cell>
        </row>
        <row r="220">
          <cell r="A220" t="str">
            <v>500000071807</v>
          </cell>
          <cell r="G220">
            <v>41.863008100000002</v>
          </cell>
          <cell r="H220">
            <v>12.459636400000001</v>
          </cell>
        </row>
        <row r="221">
          <cell r="A221" t="str">
            <v>500000015822</v>
          </cell>
          <cell r="G221">
            <v>41.8604068</v>
          </cell>
          <cell r="H221">
            <v>12.455799900000001</v>
          </cell>
        </row>
        <row r="222">
          <cell r="A222" t="str">
            <v>500000047638</v>
          </cell>
          <cell r="G222">
            <v>41.861187999999999</v>
          </cell>
          <cell r="H222">
            <v>12.4532439</v>
          </cell>
        </row>
        <row r="223">
          <cell r="A223" t="str">
            <v>500000100618</v>
          </cell>
          <cell r="G223">
            <v>41.867226500000001</v>
          </cell>
          <cell r="H223">
            <v>12.4627888</v>
          </cell>
        </row>
        <row r="224">
          <cell r="A224" t="str">
            <v>500000013502</v>
          </cell>
          <cell r="G224">
            <v>41.860001599999997</v>
          </cell>
          <cell r="H224">
            <v>12.458343599999999</v>
          </cell>
        </row>
        <row r="225">
          <cell r="A225" t="str">
            <v>500000056297</v>
          </cell>
          <cell r="G225">
            <v>41.858873600000003</v>
          </cell>
          <cell r="H225">
            <v>12.4541868</v>
          </cell>
        </row>
        <row r="226">
          <cell r="A226" t="str">
            <v>500000056297</v>
          </cell>
          <cell r="G226">
            <v>41.858873600000003</v>
          </cell>
          <cell r="H226">
            <v>12.4541868</v>
          </cell>
        </row>
        <row r="227">
          <cell r="A227" t="str">
            <v>500000204002</v>
          </cell>
          <cell r="G227">
            <v>41.870518400000002</v>
          </cell>
          <cell r="H227">
            <v>12.4653882</v>
          </cell>
        </row>
        <row r="228">
          <cell r="A228" t="str">
            <v>500000205625</v>
          </cell>
          <cell r="G228">
            <v>41.834994199999997</v>
          </cell>
          <cell r="H228">
            <v>12.4303554</v>
          </cell>
        </row>
        <row r="229">
          <cell r="A229" t="str">
            <v>500000094971</v>
          </cell>
          <cell r="G229">
            <v>41.8583189</v>
          </cell>
          <cell r="H229">
            <v>12.451320600000001</v>
          </cell>
        </row>
        <row r="230">
          <cell r="A230" t="str">
            <v>500000097796</v>
          </cell>
          <cell r="G230">
            <v>41.870518400000002</v>
          </cell>
          <cell r="H230">
            <v>12.4653882</v>
          </cell>
        </row>
        <row r="231">
          <cell r="A231" t="str">
            <v>500000099773</v>
          </cell>
          <cell r="G231">
            <v>41.855813499999996</v>
          </cell>
          <cell r="H231">
            <v>12.450601900000001</v>
          </cell>
        </row>
        <row r="232">
          <cell r="A232" t="str">
            <v>500000056296</v>
          </cell>
          <cell r="G232">
            <v>41.858873600000003</v>
          </cell>
          <cell r="H232">
            <v>12.4541868</v>
          </cell>
        </row>
        <row r="233">
          <cell r="A233" t="str">
            <v>500000056300</v>
          </cell>
          <cell r="G233">
            <v>41.858873600000003</v>
          </cell>
          <cell r="H233">
            <v>12.4541868</v>
          </cell>
        </row>
        <row r="234">
          <cell r="A234" t="str">
            <v>500000056301</v>
          </cell>
          <cell r="G234">
            <v>41.858873600000003</v>
          </cell>
          <cell r="H234">
            <v>12.4541868</v>
          </cell>
        </row>
        <row r="235">
          <cell r="A235" t="str">
            <v>500000097757</v>
          </cell>
          <cell r="G235">
            <v>41.870518400000002</v>
          </cell>
          <cell r="H235">
            <v>12.4653882</v>
          </cell>
        </row>
        <row r="236">
          <cell r="A236" t="str">
            <v>500000047356</v>
          </cell>
          <cell r="G236">
            <v>41.849021700000002</v>
          </cell>
          <cell r="H236">
            <v>12.450667899999999</v>
          </cell>
        </row>
        <row r="237">
          <cell r="A237" t="str">
            <v>500000047357</v>
          </cell>
          <cell r="G237">
            <v>41.849021700000002</v>
          </cell>
          <cell r="H237">
            <v>12.450667899999999</v>
          </cell>
        </row>
        <row r="238">
          <cell r="A238" t="str">
            <v>500000093869</v>
          </cell>
          <cell r="G238">
            <v>41.8545655</v>
          </cell>
          <cell r="H238">
            <v>12.452363</v>
          </cell>
        </row>
        <row r="239">
          <cell r="A239" t="str">
            <v>500000120336</v>
          </cell>
          <cell r="G239">
            <v>41.8431517</v>
          </cell>
          <cell r="H239">
            <v>12.436747499999999</v>
          </cell>
        </row>
        <row r="240">
          <cell r="A240" t="str">
            <v>500000026387</v>
          </cell>
          <cell r="G240">
            <v>41.849945400000003</v>
          </cell>
          <cell r="H240">
            <v>12.452703</v>
          </cell>
        </row>
        <row r="241">
          <cell r="A241" t="str">
            <v>500000026387</v>
          </cell>
          <cell r="G241">
            <v>41.849945400000003</v>
          </cell>
          <cell r="H241">
            <v>12.452703</v>
          </cell>
        </row>
        <row r="242">
          <cell r="A242" t="str">
            <v>500000039408</v>
          </cell>
          <cell r="G242">
            <v>41.845775000000003</v>
          </cell>
          <cell r="H242">
            <v>12.457798500000001</v>
          </cell>
        </row>
        <row r="243">
          <cell r="A243" t="str">
            <v>500000069907</v>
          </cell>
          <cell r="G243">
            <v>41.858709050000002</v>
          </cell>
          <cell r="H243">
            <v>12.449606810000001</v>
          </cell>
        </row>
        <row r="244">
          <cell r="A244" t="str">
            <v>500000093220</v>
          </cell>
          <cell r="G244">
            <v>41.849848999999999</v>
          </cell>
          <cell r="H244">
            <v>12.4611266</v>
          </cell>
        </row>
        <row r="245">
          <cell r="A245" t="str">
            <v>500000075874</v>
          </cell>
          <cell r="G245">
            <v>41.821498800000001</v>
          </cell>
          <cell r="H245">
            <v>12.394792799999999</v>
          </cell>
        </row>
        <row r="246">
          <cell r="A246" t="str">
            <v>500000075869</v>
          </cell>
          <cell r="G246">
            <v>41.821498800000001</v>
          </cell>
          <cell r="H246">
            <v>12.394792799999999</v>
          </cell>
        </row>
        <row r="247">
          <cell r="A247" t="str">
            <v>500000075886</v>
          </cell>
          <cell r="G247">
            <v>41.821498800000001</v>
          </cell>
          <cell r="H247">
            <v>12.394792799999999</v>
          </cell>
        </row>
        <row r="248">
          <cell r="A248" t="str">
            <v>500000075884</v>
          </cell>
          <cell r="G248">
            <v>41.821498800000001</v>
          </cell>
          <cell r="H248">
            <v>12.394792799999999</v>
          </cell>
        </row>
        <row r="249">
          <cell r="A249" t="str">
            <v>500000160152</v>
          </cell>
          <cell r="G249">
            <v>41.832974800000002</v>
          </cell>
          <cell r="H249">
            <v>12.411088599999999</v>
          </cell>
        </row>
        <row r="250">
          <cell r="A250" t="str">
            <v>500000160152</v>
          </cell>
          <cell r="G250">
            <v>41.832974800000002</v>
          </cell>
          <cell r="H250">
            <v>12.411088599999999</v>
          </cell>
        </row>
        <row r="251">
          <cell r="A251" t="str">
            <v>500000069431</v>
          </cell>
          <cell r="G251">
            <v>41.850358300000003</v>
          </cell>
          <cell r="H251">
            <v>12.4457421</v>
          </cell>
        </row>
        <row r="252">
          <cell r="A252" t="str">
            <v>500000124513</v>
          </cell>
          <cell r="G252">
            <v>41.836390000000002</v>
          </cell>
          <cell r="H252">
            <v>12.421317</v>
          </cell>
        </row>
        <row r="253">
          <cell r="A253" t="str">
            <v>500000120343</v>
          </cell>
          <cell r="G253">
            <v>41.8431517</v>
          </cell>
          <cell r="H253">
            <v>12.436747499999999</v>
          </cell>
        </row>
        <row r="254">
          <cell r="A254" t="str">
            <v>500000124515</v>
          </cell>
          <cell r="G254">
            <v>41.836390000000002</v>
          </cell>
          <cell r="H254">
            <v>12.421317</v>
          </cell>
        </row>
        <row r="255">
          <cell r="A255" t="str">
            <v>500000124526</v>
          </cell>
          <cell r="G255">
            <v>41.836390000000002</v>
          </cell>
          <cell r="H255">
            <v>12.421317</v>
          </cell>
        </row>
        <row r="256">
          <cell r="A256" t="str">
            <v>500000123533</v>
          </cell>
          <cell r="G256">
            <v>41.843424800000001</v>
          </cell>
          <cell r="H256">
            <v>12.4382193</v>
          </cell>
        </row>
        <row r="257">
          <cell r="A257" t="str">
            <v>500000120350</v>
          </cell>
          <cell r="G257">
            <v>41.8431517</v>
          </cell>
          <cell r="H257">
            <v>12.436747499999999</v>
          </cell>
        </row>
        <row r="258">
          <cell r="A258" t="str">
            <v>500000114549</v>
          </cell>
          <cell r="G258">
            <v>41.834428600000003</v>
          </cell>
          <cell r="H258">
            <v>12.433839799999999</v>
          </cell>
        </row>
        <row r="259">
          <cell r="A259" t="str">
            <v>500000074462</v>
          </cell>
          <cell r="G259">
            <v>41.853195200000002</v>
          </cell>
          <cell r="H259">
            <v>12.445499399999999</v>
          </cell>
        </row>
        <row r="260">
          <cell r="A260" t="str">
            <v>500000063734</v>
          </cell>
          <cell r="G260">
            <v>41.842198699999997</v>
          </cell>
          <cell r="H260">
            <v>12.441648199999999</v>
          </cell>
        </row>
        <row r="261">
          <cell r="A261" t="str">
            <v>500000123536</v>
          </cell>
          <cell r="G261">
            <v>41.843424800000001</v>
          </cell>
          <cell r="H261">
            <v>12.4382193</v>
          </cell>
        </row>
        <row r="262">
          <cell r="A262" t="str">
            <v>500000120320</v>
          </cell>
          <cell r="G262">
            <v>41.8431517</v>
          </cell>
          <cell r="H262">
            <v>12.436747499999999</v>
          </cell>
        </row>
        <row r="263">
          <cell r="A263" t="str">
            <v>500000153067</v>
          </cell>
          <cell r="G263">
            <v>41.837925400000003</v>
          </cell>
          <cell r="H263">
            <v>12.4319752</v>
          </cell>
        </row>
        <row r="264">
          <cell r="A264" t="str">
            <v>500000032923</v>
          </cell>
          <cell r="G264">
            <v>41.859758599999999</v>
          </cell>
          <cell r="H264">
            <v>12.419367100000001</v>
          </cell>
        </row>
        <row r="265">
          <cell r="A265" t="str">
            <v>500000032923</v>
          </cell>
          <cell r="G265">
            <v>41.859758599999999</v>
          </cell>
          <cell r="H265">
            <v>12.419367100000001</v>
          </cell>
        </row>
        <row r="266">
          <cell r="A266" t="str">
            <v>500000203600</v>
          </cell>
          <cell r="G266">
            <v>41.859758599999999</v>
          </cell>
          <cell r="H266">
            <v>12.419367100000001</v>
          </cell>
        </row>
        <row r="267">
          <cell r="A267" t="str">
            <v>500000150190</v>
          </cell>
          <cell r="G267">
            <v>41.856881700000002</v>
          </cell>
          <cell r="H267">
            <v>12.4290529</v>
          </cell>
        </row>
        <row r="268">
          <cell r="A268" t="str">
            <v>500000205625</v>
          </cell>
          <cell r="G268">
            <v>41.834994199999997</v>
          </cell>
          <cell r="H268">
            <v>12.4303554</v>
          </cell>
        </row>
        <row r="269">
          <cell r="A269" t="str">
            <v>500000096246</v>
          </cell>
          <cell r="G269">
            <v>41.852738500000001</v>
          </cell>
          <cell r="H269">
            <v>12.4131214</v>
          </cell>
        </row>
        <row r="270">
          <cell r="A270" t="str">
            <v>500000097865</v>
          </cell>
          <cell r="G270">
            <v>41.870518400000002</v>
          </cell>
          <cell r="H270">
            <v>12.4653882</v>
          </cell>
        </row>
        <row r="271">
          <cell r="A271" t="str">
            <v>500000020403</v>
          </cell>
          <cell r="G271">
            <v>41.863137000000002</v>
          </cell>
          <cell r="H271">
            <v>12.4720189</v>
          </cell>
        </row>
        <row r="272">
          <cell r="A272" t="str">
            <v>500000096249</v>
          </cell>
          <cell r="G272">
            <v>41.852738500000001</v>
          </cell>
          <cell r="H272">
            <v>12.4131214</v>
          </cell>
        </row>
        <row r="273">
          <cell r="A273" t="str">
            <v>500000097869</v>
          </cell>
          <cell r="G273">
            <v>41.870518400000002</v>
          </cell>
          <cell r="H273">
            <v>12.4653882</v>
          </cell>
        </row>
        <row r="274">
          <cell r="A274" t="str">
            <v>500000139968</v>
          </cell>
          <cell r="G274">
            <v>41.851610000000001</v>
          </cell>
          <cell r="H274">
            <v>12.414733699999999</v>
          </cell>
        </row>
        <row r="275">
          <cell r="A275" t="str">
            <v>500000139968</v>
          </cell>
          <cell r="G275">
            <v>41.851610000000001</v>
          </cell>
          <cell r="H275">
            <v>12.414733699999999</v>
          </cell>
        </row>
        <row r="276">
          <cell r="A276" t="str">
            <v>500000098090</v>
          </cell>
          <cell r="G276">
            <v>41.870518400000002</v>
          </cell>
          <cell r="H276">
            <v>12.4653882</v>
          </cell>
        </row>
        <row r="277">
          <cell r="A277" t="str">
            <v>500000097862</v>
          </cell>
          <cell r="G277">
            <v>41.870518400000002</v>
          </cell>
          <cell r="H277">
            <v>12.4653882</v>
          </cell>
        </row>
        <row r="278">
          <cell r="A278" t="str">
            <v>500000097799</v>
          </cell>
          <cell r="G278">
            <v>41.870518400000002</v>
          </cell>
          <cell r="H278">
            <v>12.4653882</v>
          </cell>
        </row>
        <row r="279">
          <cell r="A279" t="str">
            <v>500000173020</v>
          </cell>
          <cell r="G279">
            <v>41.828956900000001</v>
          </cell>
          <cell r="H279">
            <v>12.3935312</v>
          </cell>
        </row>
        <row r="280">
          <cell r="A280" t="str">
            <v>500000173020</v>
          </cell>
          <cell r="G280">
            <v>41.828956900000001</v>
          </cell>
          <cell r="H280">
            <v>12.3935312</v>
          </cell>
        </row>
        <row r="281">
          <cell r="A281" t="str">
            <v>500000087654</v>
          </cell>
          <cell r="G281">
            <v>41.8635965</v>
          </cell>
          <cell r="H281">
            <v>12.464426700000001</v>
          </cell>
        </row>
        <row r="282">
          <cell r="A282" t="str">
            <v>500000047218</v>
          </cell>
          <cell r="G282">
            <v>41.864205499999997</v>
          </cell>
          <cell r="H282">
            <v>12.4692943</v>
          </cell>
        </row>
        <row r="283">
          <cell r="A283" t="str">
            <v>500000016573</v>
          </cell>
          <cell r="G283">
            <v>41.871713300000003</v>
          </cell>
          <cell r="H283">
            <v>12.470989599999999</v>
          </cell>
        </row>
        <row r="284">
          <cell r="A284" t="str">
            <v>500000265378</v>
          </cell>
          <cell r="G284">
            <v>41.862639000000001</v>
          </cell>
          <cell r="H284">
            <v>12.4655162</v>
          </cell>
        </row>
        <row r="285">
          <cell r="A285" t="str">
            <v>500000093224</v>
          </cell>
          <cell r="G285">
            <v>41.849848999999999</v>
          </cell>
          <cell r="H285">
            <v>12.4611266</v>
          </cell>
        </row>
        <row r="286">
          <cell r="A286" t="str">
            <v>500000205650</v>
          </cell>
          <cell r="G286">
            <v>41.863948600000001</v>
          </cell>
          <cell r="H286">
            <v>12.4598213</v>
          </cell>
        </row>
        <row r="287">
          <cell r="A287" t="str">
            <v>500000205650</v>
          </cell>
          <cell r="G287">
            <v>41.863948600000001</v>
          </cell>
          <cell r="H287">
            <v>12.4598213</v>
          </cell>
        </row>
        <row r="288">
          <cell r="A288" t="str">
            <v>500000265650</v>
          </cell>
          <cell r="G288">
            <v>41.863948600000001</v>
          </cell>
          <cell r="H288">
            <v>12.4598213</v>
          </cell>
        </row>
        <row r="289">
          <cell r="A289" t="str">
            <v>500000047222</v>
          </cell>
          <cell r="G289">
            <v>41.864571099999999</v>
          </cell>
          <cell r="H289">
            <v>12.472239800000001</v>
          </cell>
        </row>
        <row r="290">
          <cell r="A290" t="str">
            <v>500000047219</v>
          </cell>
          <cell r="G290">
            <v>41.864205499999997</v>
          </cell>
          <cell r="H290">
            <v>12.4692943</v>
          </cell>
        </row>
        <row r="291">
          <cell r="A291" t="str">
            <v>500000073552</v>
          </cell>
          <cell r="G291">
            <v>41.8638707</v>
          </cell>
          <cell r="H291">
            <v>12.4733328</v>
          </cell>
        </row>
        <row r="292">
          <cell r="A292" t="str">
            <v>500000068608</v>
          </cell>
          <cell r="G292">
            <v>41.863117799999998</v>
          </cell>
          <cell r="H292">
            <v>12.4693725</v>
          </cell>
        </row>
        <row r="293">
          <cell r="A293" t="str">
            <v>500000068608</v>
          </cell>
          <cell r="G293">
            <v>41.863117799999998</v>
          </cell>
          <cell r="H293">
            <v>12.4693725</v>
          </cell>
        </row>
        <row r="294">
          <cell r="A294" t="str">
            <v>500000087646</v>
          </cell>
          <cell r="G294">
            <v>41.8635965</v>
          </cell>
          <cell r="H294">
            <v>12.464426700000001</v>
          </cell>
        </row>
        <row r="295">
          <cell r="A295" t="str">
            <v>500000087658</v>
          </cell>
          <cell r="G295">
            <v>41.8635965</v>
          </cell>
          <cell r="H295">
            <v>12.464426700000001</v>
          </cell>
        </row>
        <row r="296">
          <cell r="A296" t="str">
            <v>500000087645</v>
          </cell>
          <cell r="G296">
            <v>41.8635965</v>
          </cell>
          <cell r="H296">
            <v>12.464426700000001</v>
          </cell>
        </row>
        <row r="297">
          <cell r="A297" t="str">
            <v>500000087645</v>
          </cell>
          <cell r="G297">
            <v>41.8635965</v>
          </cell>
          <cell r="H297">
            <v>12.464426700000001</v>
          </cell>
        </row>
        <row r="298">
          <cell r="A298" t="str">
            <v>500000025634</v>
          </cell>
          <cell r="G298">
            <v>41.854630450000002</v>
          </cell>
          <cell r="H298">
            <v>12.425788199998999</v>
          </cell>
        </row>
        <row r="299">
          <cell r="A299" t="str">
            <v>500000068583</v>
          </cell>
          <cell r="G299">
            <v>41.868899599999999</v>
          </cell>
          <cell r="H299">
            <v>12.468209999999999</v>
          </cell>
        </row>
        <row r="300">
          <cell r="A300" t="str">
            <v>500000068592</v>
          </cell>
          <cell r="G300">
            <v>41.866817500000003</v>
          </cell>
          <cell r="H300">
            <v>12.4688041</v>
          </cell>
        </row>
        <row r="301">
          <cell r="A301" t="str">
            <v>500000055982</v>
          </cell>
          <cell r="G301">
            <v>41.864790599999999</v>
          </cell>
          <cell r="H301">
            <v>12.4679225</v>
          </cell>
        </row>
        <row r="302">
          <cell r="A302" t="str">
            <v>500000265650</v>
          </cell>
          <cell r="G302">
            <v>41.863948600000001</v>
          </cell>
          <cell r="H302">
            <v>12.4598213</v>
          </cell>
        </row>
        <row r="303">
          <cell r="A303" t="str">
            <v>500000097857</v>
          </cell>
          <cell r="G303">
            <v>41.870518400000002</v>
          </cell>
          <cell r="H303">
            <v>12.4653882</v>
          </cell>
        </row>
        <row r="304">
          <cell r="A304" t="str">
            <v>500000009859</v>
          </cell>
          <cell r="G304">
            <v>41.852748300000002</v>
          </cell>
          <cell r="H304">
            <v>12.425168299999999</v>
          </cell>
        </row>
        <row r="305">
          <cell r="A305" t="str">
            <v>500000009859</v>
          </cell>
          <cell r="G305">
            <v>41.852748300000002</v>
          </cell>
          <cell r="H305">
            <v>12.425168299999999</v>
          </cell>
        </row>
        <row r="306">
          <cell r="A306" t="str">
            <v>500000032919</v>
          </cell>
          <cell r="G306">
            <v>41.859758599999999</v>
          </cell>
          <cell r="H306">
            <v>12.419367100000001</v>
          </cell>
        </row>
        <row r="307">
          <cell r="A307" t="str">
            <v>500000032919</v>
          </cell>
          <cell r="G307">
            <v>41.859758599999999</v>
          </cell>
          <cell r="H307">
            <v>12.419367100000001</v>
          </cell>
        </row>
        <row r="308">
          <cell r="A308" t="str">
            <v>500000047131</v>
          </cell>
          <cell r="G308">
            <v>41.859523299999999</v>
          </cell>
          <cell r="H308">
            <v>12.4548323</v>
          </cell>
        </row>
        <row r="309">
          <cell r="A309" t="str">
            <v>500000065037</v>
          </cell>
          <cell r="G309">
            <v>41.860840600000003</v>
          </cell>
          <cell r="H309">
            <v>12.4615081</v>
          </cell>
        </row>
        <row r="310">
          <cell r="A310" t="str">
            <v>500000058085</v>
          </cell>
          <cell r="G310">
            <v>41.862415599999999</v>
          </cell>
          <cell r="H310">
            <v>12.4583496</v>
          </cell>
        </row>
        <row r="311">
          <cell r="A311" t="str">
            <v>500000068668</v>
          </cell>
          <cell r="G311">
            <v>41.860209099999999</v>
          </cell>
          <cell r="H311">
            <v>12.458497100000001</v>
          </cell>
        </row>
        <row r="312">
          <cell r="A312" t="str">
            <v>500000068667</v>
          </cell>
          <cell r="G312">
            <v>41.860209099999999</v>
          </cell>
          <cell r="H312">
            <v>12.458497100000001</v>
          </cell>
        </row>
        <row r="313">
          <cell r="A313" t="str">
            <v>500000072136</v>
          </cell>
          <cell r="G313">
            <v>41.857732400000003</v>
          </cell>
          <cell r="H313">
            <v>12.453292599999999</v>
          </cell>
        </row>
        <row r="314">
          <cell r="A314" t="str">
            <v>500000094976</v>
          </cell>
          <cell r="G314">
            <v>41.8583189</v>
          </cell>
          <cell r="H314">
            <v>12.451320600000001</v>
          </cell>
        </row>
        <row r="315">
          <cell r="A315" t="str">
            <v>500000066505</v>
          </cell>
          <cell r="G315">
            <v>41.858622699999998</v>
          </cell>
          <cell r="H315">
            <v>12.452030199999999</v>
          </cell>
        </row>
        <row r="316">
          <cell r="A316" t="str">
            <v>500000097779</v>
          </cell>
          <cell r="G316">
            <v>41.870518400000002</v>
          </cell>
          <cell r="H316">
            <v>12.4653882</v>
          </cell>
        </row>
        <row r="317">
          <cell r="A317" t="str">
            <v>500000056298</v>
          </cell>
          <cell r="G317">
            <v>41.858873600000003</v>
          </cell>
          <cell r="H317">
            <v>12.4541868</v>
          </cell>
        </row>
        <row r="318">
          <cell r="A318" t="str">
            <v>500000066507</v>
          </cell>
          <cell r="G318">
            <v>41.858622699999998</v>
          </cell>
          <cell r="H318">
            <v>12.452030199999999</v>
          </cell>
        </row>
        <row r="319">
          <cell r="A319" t="str">
            <v>500000100613</v>
          </cell>
          <cell r="G319">
            <v>41.867226500000001</v>
          </cell>
          <cell r="H319">
            <v>12.4627888</v>
          </cell>
        </row>
        <row r="320">
          <cell r="A320" t="str">
            <v>500000063883</v>
          </cell>
          <cell r="G320">
            <v>41.871101799999998</v>
          </cell>
          <cell r="H320">
            <v>12.4676934</v>
          </cell>
        </row>
        <row r="321">
          <cell r="A321" t="str">
            <v>500000066423</v>
          </cell>
          <cell r="G321">
            <v>41.855439699999998</v>
          </cell>
          <cell r="H321">
            <v>12.4485481</v>
          </cell>
        </row>
        <row r="322">
          <cell r="A322" t="str">
            <v>500000047355</v>
          </cell>
          <cell r="G322">
            <v>41.849021700000002</v>
          </cell>
          <cell r="H322">
            <v>12.450667899999999</v>
          </cell>
        </row>
        <row r="323">
          <cell r="A323" t="str">
            <v>500000203748</v>
          </cell>
          <cell r="G323">
            <v>41.870657799999996</v>
          </cell>
          <cell r="H323">
            <v>12.4618869</v>
          </cell>
        </row>
        <row r="324">
          <cell r="A324" t="str">
            <v>500000093873</v>
          </cell>
          <cell r="G324">
            <v>41.8545655</v>
          </cell>
          <cell r="H324">
            <v>12.452363</v>
          </cell>
        </row>
        <row r="325">
          <cell r="A325" t="str">
            <v>500000066425</v>
          </cell>
          <cell r="G325">
            <v>41.855439699999998</v>
          </cell>
          <cell r="H325">
            <v>12.4485481</v>
          </cell>
        </row>
        <row r="326">
          <cell r="A326" t="str">
            <v>500000099769</v>
          </cell>
          <cell r="G326">
            <v>41.855813499999996</v>
          </cell>
          <cell r="H326">
            <v>12.450601900000001</v>
          </cell>
        </row>
        <row r="327">
          <cell r="A327" t="str">
            <v>500000066430</v>
          </cell>
          <cell r="G327">
            <v>41.855439699999998</v>
          </cell>
          <cell r="H327">
            <v>12.4485481</v>
          </cell>
        </row>
        <row r="328">
          <cell r="A328" t="str">
            <v>500000204150</v>
          </cell>
          <cell r="G328">
            <v>41.854479699999999</v>
          </cell>
          <cell r="H328">
            <v>12.450822499999999</v>
          </cell>
        </row>
        <row r="329">
          <cell r="A329" t="str">
            <v>500000069255</v>
          </cell>
          <cell r="G329">
            <v>41.8523779</v>
          </cell>
          <cell r="H329">
            <v>12.449355799999999</v>
          </cell>
        </row>
        <row r="330">
          <cell r="A330" t="str">
            <v>500000039409</v>
          </cell>
          <cell r="G330">
            <v>41.845775000000003</v>
          </cell>
          <cell r="H330">
            <v>12.457798500000001</v>
          </cell>
        </row>
        <row r="331">
          <cell r="A331" t="str">
            <v>500000039408</v>
          </cell>
          <cell r="G331">
            <v>41.845775000000003</v>
          </cell>
          <cell r="H331">
            <v>12.457798500000001</v>
          </cell>
        </row>
        <row r="332">
          <cell r="A332" t="str">
            <v>500000109983</v>
          </cell>
          <cell r="G332">
            <v>41.850236899999999</v>
          </cell>
          <cell r="H332">
            <v>12.461672800000001</v>
          </cell>
        </row>
        <row r="333">
          <cell r="A333" t="str">
            <v>500000069426</v>
          </cell>
          <cell r="G333">
            <v>41.848248189998998</v>
          </cell>
          <cell r="H333">
            <v>12.4466479</v>
          </cell>
        </row>
        <row r="334">
          <cell r="A334" t="str">
            <v>500000075874</v>
          </cell>
          <cell r="G334">
            <v>41.821498800000001</v>
          </cell>
          <cell r="H334">
            <v>12.394792799999999</v>
          </cell>
        </row>
        <row r="335">
          <cell r="A335" t="str">
            <v>500000093225</v>
          </cell>
          <cell r="G335">
            <v>41.849848999999999</v>
          </cell>
          <cell r="H335">
            <v>12.4611266</v>
          </cell>
        </row>
        <row r="336">
          <cell r="A336" t="str">
            <v>500000075904</v>
          </cell>
          <cell r="G336">
            <v>41.821498800000001</v>
          </cell>
          <cell r="H336">
            <v>12.394792799999999</v>
          </cell>
        </row>
        <row r="337">
          <cell r="A337" t="str">
            <v>500000075872</v>
          </cell>
          <cell r="G337">
            <v>41.821498800000001</v>
          </cell>
          <cell r="H337">
            <v>12.394792799999999</v>
          </cell>
        </row>
        <row r="338">
          <cell r="A338" t="str">
            <v>500000075889</v>
          </cell>
          <cell r="G338">
            <v>41.821498800000001</v>
          </cell>
          <cell r="H338">
            <v>12.394792799999999</v>
          </cell>
        </row>
        <row r="339">
          <cell r="A339" t="str">
            <v>500000075920</v>
          </cell>
          <cell r="G339">
            <v>41.821498800000001</v>
          </cell>
          <cell r="H339">
            <v>12.394792799999999</v>
          </cell>
        </row>
        <row r="340">
          <cell r="A340" t="str">
            <v>500000019736</v>
          </cell>
          <cell r="G340">
            <v>41.853244599999996</v>
          </cell>
          <cell r="H340">
            <v>12.456374800000001</v>
          </cell>
        </row>
        <row r="341">
          <cell r="A341" t="str">
            <v>500000160153</v>
          </cell>
          <cell r="G341">
            <v>41.832974800000002</v>
          </cell>
          <cell r="H341">
            <v>12.411088599999999</v>
          </cell>
        </row>
        <row r="342">
          <cell r="A342" t="str">
            <v>500000160154</v>
          </cell>
          <cell r="G342">
            <v>41.832974800000002</v>
          </cell>
          <cell r="H342">
            <v>12.411088599999999</v>
          </cell>
        </row>
        <row r="343">
          <cell r="A343" t="str">
            <v>500000032901</v>
          </cell>
          <cell r="G343">
            <v>41.859758599999999</v>
          </cell>
          <cell r="H343">
            <v>12.419367100000001</v>
          </cell>
        </row>
        <row r="344">
          <cell r="A344" t="str">
            <v>500000204006</v>
          </cell>
          <cell r="G344">
            <v>41.870518400000002</v>
          </cell>
          <cell r="H344">
            <v>12.4653882</v>
          </cell>
        </row>
        <row r="345">
          <cell r="A345" t="str">
            <v>500000120335</v>
          </cell>
          <cell r="G345">
            <v>41.8431517</v>
          </cell>
          <cell r="H345">
            <v>12.436747499999999</v>
          </cell>
        </row>
        <row r="346">
          <cell r="A346" t="str">
            <v>500000124512</v>
          </cell>
          <cell r="G346">
            <v>41.836390000000002</v>
          </cell>
          <cell r="H346">
            <v>12.421317</v>
          </cell>
        </row>
        <row r="347">
          <cell r="A347" t="str">
            <v>500000059154</v>
          </cell>
          <cell r="G347">
            <v>41.838813049998997</v>
          </cell>
          <cell r="H347">
            <v>12.422085049999</v>
          </cell>
        </row>
        <row r="348">
          <cell r="A348" t="str">
            <v>500000093867</v>
          </cell>
          <cell r="G348">
            <v>41.842407199999997</v>
          </cell>
          <cell r="H348">
            <v>12.440671</v>
          </cell>
        </row>
        <row r="349">
          <cell r="A349" t="str">
            <v>500000205396</v>
          </cell>
          <cell r="G349">
            <v>41.8605491</v>
          </cell>
          <cell r="H349">
            <v>12.4544304</v>
          </cell>
        </row>
        <row r="350">
          <cell r="A350" t="str">
            <v>500000124512</v>
          </cell>
          <cell r="G350">
            <v>41.836390000000002</v>
          </cell>
          <cell r="H350">
            <v>12.421317</v>
          </cell>
        </row>
        <row r="351">
          <cell r="A351" t="str">
            <v>500000097884</v>
          </cell>
          <cell r="G351">
            <v>41.870518400000002</v>
          </cell>
          <cell r="H351">
            <v>12.4653882</v>
          </cell>
        </row>
        <row r="352">
          <cell r="A352" t="str">
            <v>500000074463</v>
          </cell>
          <cell r="G352">
            <v>41.853195200000002</v>
          </cell>
          <cell r="H352">
            <v>12.445499399999999</v>
          </cell>
        </row>
        <row r="353">
          <cell r="A353" t="str">
            <v>500000009844</v>
          </cell>
          <cell r="G353">
            <v>41.853992300000002</v>
          </cell>
          <cell r="H353">
            <v>12.4453563</v>
          </cell>
        </row>
        <row r="354">
          <cell r="A354" t="str">
            <v>500000120330</v>
          </cell>
          <cell r="G354">
            <v>41.8431517</v>
          </cell>
          <cell r="H354">
            <v>12.436747499999999</v>
          </cell>
        </row>
        <row r="355">
          <cell r="A355" t="str">
            <v>500000074463</v>
          </cell>
          <cell r="G355">
            <v>41.853195200000002</v>
          </cell>
          <cell r="H355">
            <v>12.445499399999999</v>
          </cell>
        </row>
        <row r="356">
          <cell r="A356" t="str">
            <v>500000093868</v>
          </cell>
          <cell r="G356">
            <v>41.842407199999997</v>
          </cell>
          <cell r="H356">
            <v>12.440671</v>
          </cell>
        </row>
        <row r="357">
          <cell r="A357" t="str">
            <v>500000120326</v>
          </cell>
          <cell r="G357">
            <v>41.8431517</v>
          </cell>
          <cell r="H357">
            <v>12.436747499999999</v>
          </cell>
        </row>
        <row r="358">
          <cell r="A358" t="str">
            <v>500000063732</v>
          </cell>
          <cell r="G358">
            <v>41.842198699999997</v>
          </cell>
          <cell r="H358">
            <v>12.441648199999999</v>
          </cell>
        </row>
        <row r="359">
          <cell r="A359" t="str">
            <v>500000075951</v>
          </cell>
          <cell r="G359">
            <v>41.821498800000001</v>
          </cell>
          <cell r="H359">
            <v>12.394792799999999</v>
          </cell>
        </row>
        <row r="360">
          <cell r="A360" t="str">
            <v>500000135216</v>
          </cell>
          <cell r="G360">
            <v>41.836607299999997</v>
          </cell>
          <cell r="H360">
            <v>12.4284626</v>
          </cell>
        </row>
        <row r="361">
          <cell r="A361" t="str">
            <v>500000153067</v>
          </cell>
          <cell r="G361">
            <v>41.837925400000003</v>
          </cell>
          <cell r="H361">
            <v>12.4319752</v>
          </cell>
        </row>
        <row r="362">
          <cell r="A362" t="str">
            <v>500000032929</v>
          </cell>
          <cell r="G362">
            <v>41.859758599999999</v>
          </cell>
          <cell r="H362">
            <v>12.419367100000001</v>
          </cell>
        </row>
        <row r="363">
          <cell r="A363" t="str">
            <v>500000032929</v>
          </cell>
          <cell r="G363">
            <v>41.859758599999999</v>
          </cell>
          <cell r="H363">
            <v>12.419367100000001</v>
          </cell>
        </row>
        <row r="364">
          <cell r="A364" t="str">
            <v>500000203600</v>
          </cell>
          <cell r="G364">
            <v>41.859758599999999</v>
          </cell>
          <cell r="H364">
            <v>12.419367100000001</v>
          </cell>
        </row>
        <row r="365">
          <cell r="A365" t="str">
            <v>500000009860</v>
          </cell>
          <cell r="G365">
            <v>41.852748300000002</v>
          </cell>
          <cell r="H365">
            <v>12.425168299999999</v>
          </cell>
        </row>
        <row r="366">
          <cell r="A366" t="str">
            <v>500000150190</v>
          </cell>
          <cell r="G366">
            <v>41.856881700000002</v>
          </cell>
          <cell r="H366">
            <v>12.4290529</v>
          </cell>
        </row>
        <row r="367">
          <cell r="A367" t="str">
            <v>500000032890</v>
          </cell>
          <cell r="G367">
            <v>41.859758599999999</v>
          </cell>
          <cell r="H367">
            <v>12.419367100000001</v>
          </cell>
        </row>
        <row r="368">
          <cell r="A368" t="str">
            <v>500000032905</v>
          </cell>
          <cell r="G368">
            <v>41.859758599999999</v>
          </cell>
          <cell r="H368">
            <v>12.419367100000001</v>
          </cell>
        </row>
        <row r="369">
          <cell r="A369" t="str">
            <v>500000097882</v>
          </cell>
          <cell r="G369">
            <v>41.870518400000002</v>
          </cell>
          <cell r="H369">
            <v>12.4653882</v>
          </cell>
        </row>
        <row r="370">
          <cell r="A370" t="str">
            <v>500000097882</v>
          </cell>
          <cell r="G370">
            <v>41.870518400000002</v>
          </cell>
          <cell r="H370">
            <v>12.4653882</v>
          </cell>
        </row>
        <row r="371">
          <cell r="A371" t="str">
            <v>500000097882</v>
          </cell>
          <cell r="G371">
            <v>41.870518400000002</v>
          </cell>
          <cell r="H371">
            <v>12.4653882</v>
          </cell>
        </row>
        <row r="372">
          <cell r="A372" t="str">
            <v>500000096245</v>
          </cell>
          <cell r="G372">
            <v>41.852738500000001</v>
          </cell>
          <cell r="H372">
            <v>12.4131214</v>
          </cell>
        </row>
        <row r="373">
          <cell r="A373" t="str">
            <v>500000059427</v>
          </cell>
          <cell r="G373">
            <v>41.862639000000001</v>
          </cell>
          <cell r="H373">
            <v>12.4655162</v>
          </cell>
        </row>
        <row r="374">
          <cell r="A374" t="str">
            <v>500000205654</v>
          </cell>
          <cell r="G374">
            <v>41.857109999999999</v>
          </cell>
          <cell r="H374">
            <v>12.4542901</v>
          </cell>
        </row>
        <row r="375">
          <cell r="A375" t="str">
            <v>500000205654</v>
          </cell>
          <cell r="G375">
            <v>41.857109999999999</v>
          </cell>
          <cell r="H375">
            <v>12.4542901</v>
          </cell>
        </row>
        <row r="376">
          <cell r="A376" t="str">
            <v>500000173264</v>
          </cell>
          <cell r="G376">
            <v>41.827201100000003</v>
          </cell>
          <cell r="H376">
            <v>12.395972799999999</v>
          </cell>
        </row>
        <row r="377">
          <cell r="A377" t="str">
            <v>500000175014</v>
          </cell>
          <cell r="G377">
            <v>41.813119999999998</v>
          </cell>
          <cell r="H377">
            <v>12.396012000000001</v>
          </cell>
        </row>
        <row r="378">
          <cell r="A378" t="str">
            <v>500000019884</v>
          </cell>
          <cell r="G378">
            <v>41.855411500000002</v>
          </cell>
          <cell r="H378">
            <v>12.450764299999999</v>
          </cell>
        </row>
        <row r="379">
          <cell r="A379" t="str">
            <v>500000204150</v>
          </cell>
          <cell r="G379">
            <v>41.854479699999999</v>
          </cell>
          <cell r="H379">
            <v>12.450822499999999</v>
          </cell>
        </row>
        <row r="380">
          <cell r="A380" t="str">
            <v>500000097804</v>
          </cell>
          <cell r="G380">
            <v>41.870518400000002</v>
          </cell>
          <cell r="H380">
            <v>12.4653882</v>
          </cell>
        </row>
        <row r="381">
          <cell r="A381" t="str">
            <v>500000083206</v>
          </cell>
          <cell r="G381">
            <v>41.844543299999998</v>
          </cell>
          <cell r="H381">
            <v>12.4381301</v>
          </cell>
        </row>
        <row r="382">
          <cell r="A382" t="str">
            <v>500000069255</v>
          </cell>
          <cell r="G382">
            <v>41.8523779</v>
          </cell>
          <cell r="H382">
            <v>12.449355799999999</v>
          </cell>
        </row>
        <row r="383">
          <cell r="A383" t="str">
            <v>500000205372</v>
          </cell>
          <cell r="G383">
            <v>41.860209099999999</v>
          </cell>
          <cell r="H383">
            <v>12.458497100000001</v>
          </cell>
        </row>
        <row r="384">
          <cell r="A384" t="str">
            <v>500000205705</v>
          </cell>
          <cell r="G384">
            <v>41.863008100000002</v>
          </cell>
          <cell r="H384">
            <v>12.459636400000001</v>
          </cell>
        </row>
        <row r="385">
          <cell r="A385" t="str">
            <v>500000068589</v>
          </cell>
          <cell r="G385">
            <v>41.867822599999997</v>
          </cell>
          <cell r="H385">
            <v>12.468511599999999</v>
          </cell>
        </row>
        <row r="386">
          <cell r="A386" t="str">
            <v>500000069613</v>
          </cell>
          <cell r="G386">
            <v>41.861012600000002</v>
          </cell>
          <cell r="H386">
            <v>12.465145700000001</v>
          </cell>
        </row>
        <row r="387">
          <cell r="A387" t="str">
            <v>500000055973</v>
          </cell>
          <cell r="G387">
            <v>41.864790599999999</v>
          </cell>
          <cell r="H387">
            <v>12.4679225</v>
          </cell>
        </row>
        <row r="388">
          <cell r="A388" t="str">
            <v>500000059427</v>
          </cell>
          <cell r="G388">
            <v>41.862639000000001</v>
          </cell>
          <cell r="H388">
            <v>12.4655162</v>
          </cell>
        </row>
        <row r="389">
          <cell r="A389" t="str">
            <v>500000059423</v>
          </cell>
          <cell r="G389">
            <v>41.862639000000001</v>
          </cell>
          <cell r="H389">
            <v>12.4655162</v>
          </cell>
        </row>
        <row r="390">
          <cell r="A390" t="str">
            <v>500000125616</v>
          </cell>
          <cell r="G390">
            <v>41.862491400000003</v>
          </cell>
          <cell r="H390">
            <v>12.4672968</v>
          </cell>
        </row>
        <row r="391">
          <cell r="A391" t="str">
            <v>500000047226</v>
          </cell>
          <cell r="G391">
            <v>41.864571099999999</v>
          </cell>
          <cell r="H391">
            <v>12.472239800000001</v>
          </cell>
        </row>
        <row r="392">
          <cell r="A392" t="str">
            <v>500000068581</v>
          </cell>
          <cell r="G392">
            <v>41.869052000000003</v>
          </cell>
          <cell r="H392">
            <v>12.4676752</v>
          </cell>
        </row>
        <row r="393">
          <cell r="A393" t="str">
            <v>500000055979</v>
          </cell>
          <cell r="G393">
            <v>41.864790599999999</v>
          </cell>
          <cell r="H393">
            <v>12.4679225</v>
          </cell>
        </row>
        <row r="394">
          <cell r="A394" t="str">
            <v>500000087641</v>
          </cell>
          <cell r="G394">
            <v>41.8635965</v>
          </cell>
          <cell r="H394">
            <v>12.464426700000001</v>
          </cell>
        </row>
        <row r="395">
          <cell r="A395" t="str">
            <v>500000087631</v>
          </cell>
          <cell r="G395">
            <v>41.8635965</v>
          </cell>
          <cell r="H395">
            <v>12.464426700000001</v>
          </cell>
        </row>
        <row r="396">
          <cell r="A396" t="str">
            <v>500000055975</v>
          </cell>
          <cell r="G396">
            <v>41.864790599999999</v>
          </cell>
          <cell r="H396">
            <v>12.4679225</v>
          </cell>
        </row>
        <row r="397">
          <cell r="A397" t="str">
            <v>500000087651</v>
          </cell>
          <cell r="G397">
            <v>41.8635965</v>
          </cell>
          <cell r="H397">
            <v>12.464426700000001</v>
          </cell>
        </row>
        <row r="398">
          <cell r="A398" t="str">
            <v>500000027330</v>
          </cell>
          <cell r="G398">
            <v>41.8562826</v>
          </cell>
          <cell r="H398">
            <v>12.422466399999999</v>
          </cell>
        </row>
        <row r="399">
          <cell r="A399" t="str">
            <v>500000009855</v>
          </cell>
          <cell r="G399">
            <v>41.852748300000002</v>
          </cell>
          <cell r="H399">
            <v>12.425168299999999</v>
          </cell>
        </row>
        <row r="400">
          <cell r="A400" t="str">
            <v>500000044991</v>
          </cell>
          <cell r="G400">
            <v>41.855052299999002</v>
          </cell>
          <cell r="H400">
            <v>12.451435699998999</v>
          </cell>
        </row>
        <row r="401">
          <cell r="A401" t="str">
            <v>500000100614</v>
          </cell>
          <cell r="G401">
            <v>41.867226500000001</v>
          </cell>
          <cell r="H401">
            <v>12.4627888</v>
          </cell>
        </row>
        <row r="402">
          <cell r="A402" t="str">
            <v>500000066278</v>
          </cell>
          <cell r="G402">
            <v>41.859755</v>
          </cell>
          <cell r="H402">
            <v>12.4579895</v>
          </cell>
        </row>
        <row r="403">
          <cell r="A403" t="str">
            <v>500000065783</v>
          </cell>
          <cell r="G403">
            <v>41.860600599999998</v>
          </cell>
          <cell r="H403">
            <v>12.452281899999999</v>
          </cell>
        </row>
        <row r="404">
          <cell r="A404" t="str">
            <v>500000009890</v>
          </cell>
          <cell r="G404">
            <v>41.863130499999997</v>
          </cell>
          <cell r="H404">
            <v>12.458665</v>
          </cell>
        </row>
        <row r="405">
          <cell r="A405" t="str">
            <v>500000093893</v>
          </cell>
          <cell r="G405">
            <v>41.8597283</v>
          </cell>
          <cell r="H405">
            <v>12.457281200000001</v>
          </cell>
        </row>
        <row r="406">
          <cell r="A406" t="str">
            <v>500000058086</v>
          </cell>
          <cell r="G406">
            <v>41.862415599999999</v>
          </cell>
          <cell r="H406">
            <v>12.4583496</v>
          </cell>
        </row>
        <row r="407">
          <cell r="A407" t="str">
            <v>500000068669</v>
          </cell>
          <cell r="G407">
            <v>41.860209099999999</v>
          </cell>
          <cell r="H407">
            <v>12.458497100000001</v>
          </cell>
        </row>
        <row r="408">
          <cell r="A408" t="str">
            <v>500000058087</v>
          </cell>
          <cell r="G408">
            <v>41.862415599999999</v>
          </cell>
          <cell r="H408">
            <v>12.4583496</v>
          </cell>
        </row>
        <row r="409">
          <cell r="A409" t="str">
            <v>500000068671</v>
          </cell>
          <cell r="G409">
            <v>41.860209099999999</v>
          </cell>
          <cell r="H409">
            <v>12.458497100000001</v>
          </cell>
        </row>
        <row r="410">
          <cell r="A410" t="str">
            <v>500000056297</v>
          </cell>
          <cell r="G410">
            <v>41.858873600000003</v>
          </cell>
          <cell r="H410">
            <v>12.4541868</v>
          </cell>
        </row>
        <row r="411">
          <cell r="A411" t="str">
            <v>500000056299</v>
          </cell>
          <cell r="G411">
            <v>41.858873600000003</v>
          </cell>
          <cell r="H411">
            <v>12.4541868</v>
          </cell>
        </row>
        <row r="412">
          <cell r="A412" t="str">
            <v>500000094975</v>
          </cell>
          <cell r="G412">
            <v>41.8583189</v>
          </cell>
          <cell r="H412">
            <v>12.451320600000001</v>
          </cell>
        </row>
        <row r="413">
          <cell r="A413" t="str">
            <v>500000056299</v>
          </cell>
          <cell r="G413">
            <v>41.858873600000003</v>
          </cell>
          <cell r="H413">
            <v>12.4541868</v>
          </cell>
        </row>
        <row r="414">
          <cell r="A414" t="str">
            <v>500000097779</v>
          </cell>
          <cell r="G414">
            <v>41.870518400000002</v>
          </cell>
          <cell r="H414">
            <v>12.4653882</v>
          </cell>
        </row>
        <row r="415">
          <cell r="A415" t="str">
            <v>500000094607</v>
          </cell>
          <cell r="G415">
            <v>41.853891400000002</v>
          </cell>
          <cell r="H415">
            <v>12.449409299999999</v>
          </cell>
        </row>
        <row r="416">
          <cell r="A416" t="str">
            <v>500000072138</v>
          </cell>
          <cell r="G416">
            <v>41.857732400000003</v>
          </cell>
          <cell r="H416">
            <v>12.453292599999999</v>
          </cell>
        </row>
        <row r="417">
          <cell r="A417" t="str">
            <v>500000097796</v>
          </cell>
          <cell r="G417">
            <v>41.870518400000002</v>
          </cell>
          <cell r="H417">
            <v>12.4653882</v>
          </cell>
        </row>
        <row r="418">
          <cell r="A418" t="str">
            <v>500000097757</v>
          </cell>
          <cell r="G418">
            <v>41.870518400000002</v>
          </cell>
          <cell r="H418">
            <v>12.4653882</v>
          </cell>
        </row>
        <row r="419">
          <cell r="A419" t="str">
            <v>500000047357</v>
          </cell>
          <cell r="G419">
            <v>41.849021700000002</v>
          </cell>
          <cell r="H419">
            <v>12.450667899999999</v>
          </cell>
        </row>
        <row r="420">
          <cell r="A420" t="str">
            <v>500000099772</v>
          </cell>
          <cell r="G420">
            <v>41.855813499999996</v>
          </cell>
          <cell r="H420">
            <v>12.450601900000001</v>
          </cell>
        </row>
        <row r="421">
          <cell r="A421" t="str">
            <v>500000205651</v>
          </cell>
          <cell r="G421">
            <v>41.863008100000002</v>
          </cell>
          <cell r="H421">
            <v>12.459636400000001</v>
          </cell>
        </row>
        <row r="422">
          <cell r="A422" t="str">
            <v>500000099777</v>
          </cell>
          <cell r="G422">
            <v>41.855813499999996</v>
          </cell>
          <cell r="H422">
            <v>12.450601900000001</v>
          </cell>
        </row>
        <row r="423">
          <cell r="A423" t="str">
            <v>500000108178</v>
          </cell>
          <cell r="G423">
            <v>41.844357299999999</v>
          </cell>
          <cell r="H423">
            <v>12.4568061</v>
          </cell>
        </row>
        <row r="424">
          <cell r="A424" t="str">
            <v>500000036014</v>
          </cell>
          <cell r="G424">
            <v>41.8482944</v>
          </cell>
          <cell r="H424">
            <v>12.463433999999999</v>
          </cell>
        </row>
        <row r="425">
          <cell r="A425" t="str">
            <v>500000093225</v>
          </cell>
          <cell r="G425">
            <v>41.849848999999999</v>
          </cell>
          <cell r="H425">
            <v>12.4611266</v>
          </cell>
        </row>
        <row r="426">
          <cell r="A426" t="str">
            <v>500000070894</v>
          </cell>
          <cell r="G426">
            <v>41.849196999999997</v>
          </cell>
          <cell r="H426">
            <v>12.4611974</v>
          </cell>
        </row>
        <row r="427">
          <cell r="A427" t="str">
            <v>500000070894</v>
          </cell>
          <cell r="G427">
            <v>41.849196999999997</v>
          </cell>
          <cell r="H427">
            <v>12.4611974</v>
          </cell>
        </row>
        <row r="428">
          <cell r="A428" t="str">
            <v>500000075888</v>
          </cell>
          <cell r="G428">
            <v>41.821498800000001</v>
          </cell>
          <cell r="H428">
            <v>12.394792799999999</v>
          </cell>
        </row>
        <row r="429">
          <cell r="A429" t="str">
            <v>500000075889</v>
          </cell>
          <cell r="G429">
            <v>41.821498800000001</v>
          </cell>
          <cell r="H429">
            <v>12.394792799999999</v>
          </cell>
        </row>
        <row r="430">
          <cell r="A430" t="str">
            <v>500000075878</v>
          </cell>
          <cell r="G430">
            <v>41.821498800000001</v>
          </cell>
          <cell r="H430">
            <v>12.394792799999999</v>
          </cell>
        </row>
        <row r="431">
          <cell r="A431" t="str">
            <v>500000075868</v>
          </cell>
          <cell r="G431">
            <v>41.821498800000001</v>
          </cell>
          <cell r="H431">
            <v>12.394792799999999</v>
          </cell>
        </row>
        <row r="432">
          <cell r="A432" t="str">
            <v>500000075864</v>
          </cell>
          <cell r="G432">
            <v>41.821498800000001</v>
          </cell>
          <cell r="H432">
            <v>12.394792799999999</v>
          </cell>
        </row>
        <row r="433">
          <cell r="A433" t="str">
            <v>500000020965</v>
          </cell>
          <cell r="G433">
            <v>41.849527999999999</v>
          </cell>
          <cell r="H433">
            <v>12.4600893</v>
          </cell>
        </row>
        <row r="434">
          <cell r="A434" t="str">
            <v>500000075922</v>
          </cell>
          <cell r="G434">
            <v>41.821498800000001</v>
          </cell>
          <cell r="H434">
            <v>12.394792799999999</v>
          </cell>
        </row>
        <row r="435">
          <cell r="A435" t="str">
            <v>500000075897</v>
          </cell>
          <cell r="G435">
            <v>41.821498800000001</v>
          </cell>
          <cell r="H435">
            <v>12.394792799999999</v>
          </cell>
        </row>
        <row r="436">
          <cell r="A436" t="str">
            <v>500000153066</v>
          </cell>
          <cell r="G436">
            <v>41.837925400000003</v>
          </cell>
          <cell r="H436">
            <v>12.4319752</v>
          </cell>
        </row>
        <row r="437">
          <cell r="A437" t="str">
            <v>500000097884</v>
          </cell>
          <cell r="G437">
            <v>41.870518400000002</v>
          </cell>
          <cell r="H437">
            <v>12.4653882</v>
          </cell>
        </row>
        <row r="438">
          <cell r="A438" t="str">
            <v>500000063738</v>
          </cell>
          <cell r="G438">
            <v>41.842198699999997</v>
          </cell>
          <cell r="H438">
            <v>12.441648199999999</v>
          </cell>
        </row>
        <row r="439">
          <cell r="A439" t="str">
            <v>500000120351</v>
          </cell>
          <cell r="G439">
            <v>41.8431517</v>
          </cell>
          <cell r="H439">
            <v>12.436747499999999</v>
          </cell>
        </row>
        <row r="440">
          <cell r="A440" t="str">
            <v>500000134762</v>
          </cell>
          <cell r="G440">
            <v>41.836736500000001</v>
          </cell>
          <cell r="H440">
            <v>12.4262792</v>
          </cell>
        </row>
        <row r="441">
          <cell r="A441" t="str">
            <v>500000083208</v>
          </cell>
          <cell r="G441">
            <v>41.844543299999998</v>
          </cell>
          <cell r="H441">
            <v>12.4381301</v>
          </cell>
        </row>
        <row r="442">
          <cell r="A442" t="str">
            <v>500000009840</v>
          </cell>
          <cell r="G442">
            <v>41.853992300000002</v>
          </cell>
          <cell r="H442">
            <v>12.4453563</v>
          </cell>
        </row>
        <row r="443">
          <cell r="A443" t="str">
            <v>500000120343</v>
          </cell>
          <cell r="G443">
            <v>41.8431517</v>
          </cell>
          <cell r="H443">
            <v>12.436747499999999</v>
          </cell>
        </row>
        <row r="444">
          <cell r="A444" t="str">
            <v>500000093865</v>
          </cell>
          <cell r="G444">
            <v>41.842407199999997</v>
          </cell>
          <cell r="H444">
            <v>12.440671</v>
          </cell>
        </row>
        <row r="445">
          <cell r="A445" t="str">
            <v>500000134766</v>
          </cell>
          <cell r="G445">
            <v>41.836736500000001</v>
          </cell>
          <cell r="H445">
            <v>12.4262792</v>
          </cell>
        </row>
        <row r="446">
          <cell r="A446" t="str">
            <v>500000120351</v>
          </cell>
          <cell r="G446">
            <v>41.8431517</v>
          </cell>
          <cell r="H446">
            <v>12.436747499999999</v>
          </cell>
        </row>
        <row r="447">
          <cell r="A447" t="str">
            <v>500000123538</v>
          </cell>
          <cell r="G447">
            <v>41.843424800000001</v>
          </cell>
          <cell r="H447">
            <v>12.4382193</v>
          </cell>
        </row>
        <row r="448">
          <cell r="A448" t="str">
            <v>500000135216</v>
          </cell>
          <cell r="G448">
            <v>41.836607299999997</v>
          </cell>
          <cell r="H448">
            <v>12.4284626</v>
          </cell>
        </row>
        <row r="449">
          <cell r="A449" t="str">
            <v>500000107198</v>
          </cell>
          <cell r="G449">
            <v>41.852133799999997</v>
          </cell>
          <cell r="H449">
            <v>12.444683899999999</v>
          </cell>
        </row>
        <row r="450">
          <cell r="A450" t="str">
            <v>500000009845</v>
          </cell>
          <cell r="G450">
            <v>41.853992300000002</v>
          </cell>
          <cell r="H450">
            <v>12.4453563</v>
          </cell>
        </row>
        <row r="451">
          <cell r="A451" t="str">
            <v>500000123539</v>
          </cell>
          <cell r="G451">
            <v>41.843424800000001</v>
          </cell>
          <cell r="H451">
            <v>12.4382193</v>
          </cell>
        </row>
        <row r="452">
          <cell r="A452" t="str">
            <v>500000083033</v>
          </cell>
          <cell r="G452">
            <v>41.845074400000001</v>
          </cell>
          <cell r="H452">
            <v>12.4281592</v>
          </cell>
        </row>
        <row r="453">
          <cell r="A453" t="str">
            <v>500000125888</v>
          </cell>
          <cell r="G453">
            <v>41.857720999999998</v>
          </cell>
          <cell r="H453">
            <v>12.417929900000001</v>
          </cell>
        </row>
        <row r="454">
          <cell r="A454" t="str">
            <v>500000032915</v>
          </cell>
          <cell r="G454">
            <v>41.859758599999999</v>
          </cell>
          <cell r="H454">
            <v>12.419367100000001</v>
          </cell>
        </row>
        <row r="455">
          <cell r="A455" t="str">
            <v>500000032915</v>
          </cell>
          <cell r="G455">
            <v>41.859758599999999</v>
          </cell>
          <cell r="H455">
            <v>12.419367100000001</v>
          </cell>
        </row>
        <row r="456">
          <cell r="A456" t="str">
            <v>500000032904</v>
          </cell>
          <cell r="G456">
            <v>41.859758599999999</v>
          </cell>
          <cell r="H456">
            <v>12.419367100000001</v>
          </cell>
        </row>
        <row r="457">
          <cell r="A457" t="str">
            <v>500000032904</v>
          </cell>
          <cell r="G457">
            <v>41.859758599999999</v>
          </cell>
          <cell r="H457">
            <v>12.419367100000001</v>
          </cell>
        </row>
        <row r="458">
          <cell r="A458" t="str">
            <v>500000032924</v>
          </cell>
          <cell r="G458">
            <v>41.859758599999999</v>
          </cell>
          <cell r="H458">
            <v>12.419367100000001</v>
          </cell>
        </row>
        <row r="459">
          <cell r="A459" t="str">
            <v>500000032924</v>
          </cell>
          <cell r="G459">
            <v>41.859758599999999</v>
          </cell>
          <cell r="H459">
            <v>12.419367100000001</v>
          </cell>
        </row>
        <row r="460">
          <cell r="A460" t="str">
            <v>500000096246</v>
          </cell>
          <cell r="G460">
            <v>41.852738500000001</v>
          </cell>
          <cell r="H460">
            <v>12.4131214</v>
          </cell>
        </row>
        <row r="461">
          <cell r="A461" t="str">
            <v>500000096248</v>
          </cell>
          <cell r="G461">
            <v>41.852738500000001</v>
          </cell>
          <cell r="H461">
            <v>12.4131214</v>
          </cell>
        </row>
        <row r="462">
          <cell r="A462" t="str">
            <v>500000177648</v>
          </cell>
          <cell r="G462">
            <v>41.855792200000003</v>
          </cell>
          <cell r="H462">
            <v>12.4143522</v>
          </cell>
        </row>
        <row r="463">
          <cell r="A463" t="str">
            <v>500000177648</v>
          </cell>
          <cell r="G463">
            <v>41.855792200000003</v>
          </cell>
          <cell r="H463">
            <v>12.4143522</v>
          </cell>
        </row>
        <row r="464">
          <cell r="A464" t="str">
            <v>500000097881</v>
          </cell>
          <cell r="G464">
            <v>41.870518400000002</v>
          </cell>
          <cell r="H464">
            <v>12.4653882</v>
          </cell>
        </row>
        <row r="465">
          <cell r="A465" t="str">
            <v>500000096246</v>
          </cell>
          <cell r="G465">
            <v>41.852738500000001</v>
          </cell>
          <cell r="H465">
            <v>12.4131214</v>
          </cell>
        </row>
        <row r="466">
          <cell r="A466" t="str">
            <v>500000097882</v>
          </cell>
          <cell r="G466">
            <v>41.870518400000002</v>
          </cell>
          <cell r="H466">
            <v>12.4653882</v>
          </cell>
        </row>
        <row r="467">
          <cell r="A467" t="str">
            <v>500000096247</v>
          </cell>
          <cell r="G467">
            <v>41.852738500000001</v>
          </cell>
          <cell r="H467">
            <v>12.4131214</v>
          </cell>
        </row>
        <row r="468">
          <cell r="A468" t="str">
            <v>500000139967</v>
          </cell>
          <cell r="G468">
            <v>41.851610000000001</v>
          </cell>
          <cell r="H468">
            <v>12.414733699999999</v>
          </cell>
        </row>
        <row r="469">
          <cell r="A469" t="str">
            <v>500000139967</v>
          </cell>
          <cell r="G469">
            <v>41.851610000000001</v>
          </cell>
          <cell r="H469">
            <v>12.414733699999999</v>
          </cell>
        </row>
        <row r="470">
          <cell r="A470" t="str">
            <v>500000075945</v>
          </cell>
          <cell r="G470">
            <v>41.821498800000001</v>
          </cell>
          <cell r="H470">
            <v>12.394792799999999</v>
          </cell>
        </row>
        <row r="471">
          <cell r="A471" t="str">
            <v>500000098088</v>
          </cell>
          <cell r="G471">
            <v>41.870518400000002</v>
          </cell>
          <cell r="H471">
            <v>12.4653882</v>
          </cell>
        </row>
        <row r="472">
          <cell r="A472" t="str">
            <v>500000098090</v>
          </cell>
          <cell r="G472">
            <v>41.870518400000002</v>
          </cell>
          <cell r="H472">
            <v>12.4653882</v>
          </cell>
        </row>
        <row r="473">
          <cell r="A473" t="str">
            <v>500000173022</v>
          </cell>
          <cell r="G473">
            <v>41.828956900000001</v>
          </cell>
          <cell r="H473">
            <v>12.3935312</v>
          </cell>
        </row>
        <row r="474">
          <cell r="A474" t="str">
            <v>500000173022</v>
          </cell>
          <cell r="G474">
            <v>41.828956900000001</v>
          </cell>
          <cell r="H474">
            <v>12.3935312</v>
          </cell>
        </row>
        <row r="475">
          <cell r="A475" t="str">
            <v>500000120320</v>
          </cell>
          <cell r="G475">
            <v>41.8431517</v>
          </cell>
          <cell r="H475">
            <v>12.436747499999999</v>
          </cell>
        </row>
        <row r="476">
          <cell r="A476" t="str">
            <v>500000205651</v>
          </cell>
          <cell r="G476">
            <v>41.863008100000002</v>
          </cell>
          <cell r="H476">
            <v>12.459636400000001</v>
          </cell>
        </row>
        <row r="477">
          <cell r="A477" t="str">
            <v>500000075989</v>
          </cell>
          <cell r="G477">
            <v>41.821498800000001</v>
          </cell>
          <cell r="H477">
            <v>12.394792799999999</v>
          </cell>
        </row>
        <row r="478">
          <cell r="A478" t="str">
            <v>500000109983</v>
          </cell>
          <cell r="G478">
            <v>41.850236899999999</v>
          </cell>
          <cell r="H478">
            <v>12.461672800000001</v>
          </cell>
        </row>
        <row r="479">
          <cell r="A479" t="str">
            <v>500000047355</v>
          </cell>
          <cell r="G479">
            <v>41.849021700000002</v>
          </cell>
          <cell r="H479">
            <v>12.450667899999999</v>
          </cell>
        </row>
        <row r="480">
          <cell r="A480" t="str">
            <v>500000114553</v>
          </cell>
          <cell r="G480">
            <v>41.837547600000001</v>
          </cell>
          <cell r="H480">
            <v>12.4350468</v>
          </cell>
        </row>
        <row r="481">
          <cell r="A481" t="str">
            <v>500000094607</v>
          </cell>
          <cell r="G481">
            <v>41.853891400000002</v>
          </cell>
          <cell r="H481">
            <v>12.449409299999999</v>
          </cell>
        </row>
        <row r="482">
          <cell r="A482" t="str">
            <v>500000205663</v>
          </cell>
          <cell r="G482">
            <v>41.8545655</v>
          </cell>
          <cell r="H482">
            <v>12.452363</v>
          </cell>
        </row>
        <row r="483">
          <cell r="A483" t="str">
            <v>500000205663</v>
          </cell>
          <cell r="G483">
            <v>41.8545655</v>
          </cell>
          <cell r="H483">
            <v>12.452363</v>
          </cell>
        </row>
        <row r="484">
          <cell r="A484" t="str">
            <v>500000016573</v>
          </cell>
          <cell r="G484">
            <v>41.871713300000003</v>
          </cell>
          <cell r="H484">
            <v>12.470989599999999</v>
          </cell>
        </row>
        <row r="485">
          <cell r="A485" t="str">
            <v>500000094009</v>
          </cell>
          <cell r="G485">
            <v>41.865532999999999</v>
          </cell>
          <cell r="H485">
            <v>12.4750234</v>
          </cell>
        </row>
        <row r="486">
          <cell r="A486" t="str">
            <v>500000094207</v>
          </cell>
          <cell r="G486">
            <v>41.866013600000002</v>
          </cell>
          <cell r="H486">
            <v>12.4715598</v>
          </cell>
        </row>
        <row r="487">
          <cell r="A487" t="str">
            <v>500000047231</v>
          </cell>
          <cell r="G487">
            <v>41.864571099999999</v>
          </cell>
          <cell r="H487">
            <v>12.472239800000001</v>
          </cell>
        </row>
        <row r="488">
          <cell r="A488" t="str">
            <v>500000016715</v>
          </cell>
          <cell r="G488">
            <v>41.8621853</v>
          </cell>
          <cell r="H488">
            <v>12.4689797</v>
          </cell>
        </row>
        <row r="489">
          <cell r="A489" t="str">
            <v>500000016715</v>
          </cell>
          <cell r="G489">
            <v>41.8621853</v>
          </cell>
          <cell r="H489">
            <v>12.4689797</v>
          </cell>
        </row>
        <row r="490">
          <cell r="A490" t="str">
            <v>500000055983</v>
          </cell>
          <cell r="G490">
            <v>41.864790599999999</v>
          </cell>
          <cell r="H490">
            <v>12.4679225</v>
          </cell>
        </row>
        <row r="491">
          <cell r="A491" t="str">
            <v>500000055983</v>
          </cell>
          <cell r="G491">
            <v>41.864790599999999</v>
          </cell>
          <cell r="H491">
            <v>12.4679225</v>
          </cell>
        </row>
        <row r="492">
          <cell r="A492" t="str">
            <v>500000047228</v>
          </cell>
          <cell r="G492">
            <v>41.864571099999999</v>
          </cell>
          <cell r="H492">
            <v>12.472239800000001</v>
          </cell>
        </row>
        <row r="493">
          <cell r="A493" t="str">
            <v>500000110841</v>
          </cell>
          <cell r="G493">
            <v>41.862604599999997</v>
          </cell>
          <cell r="H493">
            <v>12.471681</v>
          </cell>
        </row>
        <row r="494">
          <cell r="A494" t="str">
            <v>500000068590</v>
          </cell>
          <cell r="G494">
            <v>41.8676119</v>
          </cell>
          <cell r="H494">
            <v>12.468095999999999</v>
          </cell>
        </row>
        <row r="495">
          <cell r="A495" t="str">
            <v>500000087642</v>
          </cell>
          <cell r="G495">
            <v>41.8635965</v>
          </cell>
          <cell r="H495">
            <v>12.464426700000001</v>
          </cell>
        </row>
        <row r="496">
          <cell r="A496" t="str">
            <v>500000055977</v>
          </cell>
          <cell r="G496">
            <v>41.864790599999999</v>
          </cell>
          <cell r="H496">
            <v>12.4679225</v>
          </cell>
        </row>
        <row r="497">
          <cell r="A497" t="str">
            <v>500000055979</v>
          </cell>
          <cell r="G497">
            <v>41.864790599999999</v>
          </cell>
          <cell r="H497">
            <v>12.4679225</v>
          </cell>
        </row>
        <row r="498">
          <cell r="A498" t="str">
            <v>500000087653</v>
          </cell>
          <cell r="G498">
            <v>41.8635965</v>
          </cell>
          <cell r="H498">
            <v>12.464426700000001</v>
          </cell>
        </row>
        <row r="499">
          <cell r="A499" t="str">
            <v>500000087637</v>
          </cell>
          <cell r="G499">
            <v>41.8635965</v>
          </cell>
          <cell r="H499">
            <v>12.464426700000001</v>
          </cell>
        </row>
        <row r="500">
          <cell r="A500" t="str">
            <v>500000087638</v>
          </cell>
          <cell r="G500">
            <v>41.8635965</v>
          </cell>
          <cell r="H500">
            <v>12.464426700000001</v>
          </cell>
        </row>
        <row r="501">
          <cell r="A501" t="str">
            <v>500000100774</v>
          </cell>
          <cell r="G501">
            <v>41.870023699999997</v>
          </cell>
          <cell r="H501">
            <v>12.4672248</v>
          </cell>
        </row>
        <row r="502">
          <cell r="A502" t="str">
            <v>500000055975</v>
          </cell>
          <cell r="G502">
            <v>41.864790599999999</v>
          </cell>
          <cell r="H502">
            <v>12.4679225</v>
          </cell>
        </row>
        <row r="503">
          <cell r="A503" t="str">
            <v>500000025636</v>
          </cell>
          <cell r="G503">
            <v>41.853047799999999</v>
          </cell>
          <cell r="H503">
            <v>12.4285136</v>
          </cell>
        </row>
        <row r="504">
          <cell r="A504" t="str">
            <v>500000027332</v>
          </cell>
          <cell r="G504">
            <v>41.8562826</v>
          </cell>
          <cell r="H504">
            <v>12.422466399999999</v>
          </cell>
        </row>
        <row r="505">
          <cell r="A505" t="str">
            <v>500000027332</v>
          </cell>
          <cell r="G505">
            <v>41.8562826</v>
          </cell>
          <cell r="H505">
            <v>12.422466399999999</v>
          </cell>
        </row>
        <row r="506">
          <cell r="A506" t="str">
            <v>500000097878</v>
          </cell>
          <cell r="G506">
            <v>41.870518400000002</v>
          </cell>
          <cell r="H506">
            <v>12.4653882</v>
          </cell>
        </row>
        <row r="507">
          <cell r="A507" t="str">
            <v>500000097872</v>
          </cell>
          <cell r="G507">
            <v>41.870518400000002</v>
          </cell>
          <cell r="H507">
            <v>12.4653882</v>
          </cell>
        </row>
        <row r="508">
          <cell r="A508" t="str">
            <v>500000125887</v>
          </cell>
          <cell r="G508">
            <v>41.857720999999998</v>
          </cell>
          <cell r="H508">
            <v>12.417929900000001</v>
          </cell>
        </row>
        <row r="509">
          <cell r="A509" t="str">
            <v>500000139973</v>
          </cell>
          <cell r="G509">
            <v>41.851610000000001</v>
          </cell>
          <cell r="H509">
            <v>12.414733699999999</v>
          </cell>
        </row>
        <row r="510">
          <cell r="A510" t="str">
            <v>500000139973</v>
          </cell>
          <cell r="G510">
            <v>41.851610000000001</v>
          </cell>
          <cell r="H510">
            <v>12.414733699999999</v>
          </cell>
        </row>
        <row r="511">
          <cell r="A511" t="str">
            <v>500000015823</v>
          </cell>
          <cell r="G511">
            <v>41.8604068</v>
          </cell>
          <cell r="H511">
            <v>12.455799900000001</v>
          </cell>
        </row>
        <row r="512">
          <cell r="A512" t="str">
            <v>500000044991</v>
          </cell>
          <cell r="G512">
            <v>41.855052299999002</v>
          </cell>
          <cell r="H512">
            <v>12.451435699998999</v>
          </cell>
        </row>
        <row r="513">
          <cell r="A513" t="str">
            <v>500000068672</v>
          </cell>
          <cell r="G513">
            <v>41.860209099999999</v>
          </cell>
          <cell r="H513">
            <v>12.458497100000001</v>
          </cell>
        </row>
        <row r="514">
          <cell r="A514" t="str">
            <v>500000065785</v>
          </cell>
          <cell r="G514">
            <v>41.860600599999998</v>
          </cell>
          <cell r="H514">
            <v>12.452281899999999</v>
          </cell>
        </row>
        <row r="515">
          <cell r="A515" t="str">
            <v>500000065037</v>
          </cell>
          <cell r="G515">
            <v>41.860840600000003</v>
          </cell>
          <cell r="H515">
            <v>12.4615081</v>
          </cell>
        </row>
        <row r="516">
          <cell r="A516" t="str">
            <v>500000220919</v>
          </cell>
          <cell r="G516">
            <v>41.853628999999998</v>
          </cell>
          <cell r="H516">
            <v>12.4476464</v>
          </cell>
        </row>
        <row r="517">
          <cell r="A517" t="str">
            <v>500000013501</v>
          </cell>
          <cell r="G517">
            <v>41.860001599999997</v>
          </cell>
          <cell r="H517">
            <v>12.458343599999999</v>
          </cell>
        </row>
        <row r="518">
          <cell r="A518" t="str">
            <v>500000068667</v>
          </cell>
          <cell r="G518">
            <v>41.860209099999999</v>
          </cell>
          <cell r="H518">
            <v>12.458497100000001</v>
          </cell>
        </row>
        <row r="519">
          <cell r="A519" t="str">
            <v>500000160239</v>
          </cell>
          <cell r="G519">
            <v>41.849237199999997</v>
          </cell>
          <cell r="H519">
            <v>12.4471019</v>
          </cell>
        </row>
        <row r="520">
          <cell r="A520" t="str">
            <v>500000100613</v>
          </cell>
          <cell r="G520">
            <v>41.867226500000001</v>
          </cell>
          <cell r="H520">
            <v>12.4627888</v>
          </cell>
        </row>
        <row r="521">
          <cell r="A521" t="str">
            <v>500000094974</v>
          </cell>
          <cell r="G521">
            <v>41.8583189</v>
          </cell>
          <cell r="H521">
            <v>12.451320600000001</v>
          </cell>
        </row>
        <row r="522">
          <cell r="A522" t="str">
            <v>500000100621</v>
          </cell>
          <cell r="G522">
            <v>41.867226500000001</v>
          </cell>
          <cell r="H522">
            <v>12.4627888</v>
          </cell>
        </row>
        <row r="523">
          <cell r="A523" t="str">
            <v>500000204002</v>
          </cell>
          <cell r="G523">
            <v>41.870518400000002</v>
          </cell>
          <cell r="H523">
            <v>12.4653882</v>
          </cell>
        </row>
        <row r="524">
          <cell r="A524" t="str">
            <v>500000094606</v>
          </cell>
          <cell r="G524">
            <v>41.853891400000002</v>
          </cell>
          <cell r="H524">
            <v>12.449409299999999</v>
          </cell>
        </row>
        <row r="525">
          <cell r="A525" t="str">
            <v>500000061453</v>
          </cell>
          <cell r="G525">
            <v>41.857109999999999</v>
          </cell>
          <cell r="H525">
            <v>12.4542901</v>
          </cell>
        </row>
        <row r="526">
          <cell r="A526" t="str">
            <v>500000097822</v>
          </cell>
          <cell r="G526">
            <v>41.870518400000002</v>
          </cell>
          <cell r="H526">
            <v>12.4653882</v>
          </cell>
        </row>
        <row r="527">
          <cell r="A527" t="str">
            <v>500000063883</v>
          </cell>
          <cell r="G527">
            <v>41.871101799999998</v>
          </cell>
          <cell r="H527">
            <v>12.4676934</v>
          </cell>
        </row>
        <row r="528">
          <cell r="A528" t="str">
            <v>500000205678</v>
          </cell>
          <cell r="G528">
            <v>41.853628999999998</v>
          </cell>
          <cell r="H528">
            <v>12.4476464</v>
          </cell>
        </row>
        <row r="529">
          <cell r="A529" t="str">
            <v>500000094507</v>
          </cell>
          <cell r="G529">
            <v>41.853628999999998</v>
          </cell>
          <cell r="H529">
            <v>12.4476464</v>
          </cell>
        </row>
        <row r="530">
          <cell r="A530" t="str">
            <v>500000094511</v>
          </cell>
          <cell r="G530">
            <v>41.853628999999998</v>
          </cell>
          <cell r="H530">
            <v>12.4476464</v>
          </cell>
        </row>
        <row r="531">
          <cell r="A531" t="str">
            <v>500000062724</v>
          </cell>
          <cell r="G531">
            <v>41.869229199999999</v>
          </cell>
          <cell r="H531">
            <v>12.462877300000001</v>
          </cell>
        </row>
        <row r="532">
          <cell r="A532" t="str">
            <v>500000039408</v>
          </cell>
          <cell r="G532">
            <v>41.845775000000003</v>
          </cell>
          <cell r="H532">
            <v>12.457798500000001</v>
          </cell>
        </row>
        <row r="533">
          <cell r="A533" t="str">
            <v>500000044991</v>
          </cell>
          <cell r="G533">
            <v>41.855052299999002</v>
          </cell>
          <cell r="H533">
            <v>12.451435699998999</v>
          </cell>
        </row>
        <row r="534">
          <cell r="A534" t="str">
            <v>500000093224</v>
          </cell>
          <cell r="G534">
            <v>41.849848999999999</v>
          </cell>
          <cell r="H534">
            <v>12.4611266</v>
          </cell>
        </row>
        <row r="535">
          <cell r="A535" t="str">
            <v>500000075922</v>
          </cell>
          <cell r="G535">
            <v>41.821498800000001</v>
          </cell>
          <cell r="H535">
            <v>12.394792799999999</v>
          </cell>
        </row>
        <row r="536">
          <cell r="A536" t="str">
            <v>500000160153</v>
          </cell>
          <cell r="G536">
            <v>41.832974800000002</v>
          </cell>
          <cell r="H536">
            <v>12.411088599999999</v>
          </cell>
        </row>
        <row r="537">
          <cell r="A537" t="str">
            <v>500000019737</v>
          </cell>
          <cell r="G537">
            <v>41.853244599999996</v>
          </cell>
          <cell r="H537">
            <v>12.456374800000001</v>
          </cell>
        </row>
        <row r="538">
          <cell r="A538" t="str">
            <v>500000134762</v>
          </cell>
          <cell r="G538">
            <v>41.836736500000001</v>
          </cell>
          <cell r="H538">
            <v>12.4262792</v>
          </cell>
        </row>
        <row r="539">
          <cell r="A539" t="str">
            <v>500000069434</v>
          </cell>
          <cell r="G539">
            <v>41.850358300000003</v>
          </cell>
          <cell r="H539">
            <v>12.4457421</v>
          </cell>
        </row>
        <row r="540">
          <cell r="A540" t="str">
            <v>500000124526</v>
          </cell>
          <cell r="G540">
            <v>41.836390000000002</v>
          </cell>
          <cell r="H540">
            <v>12.421317</v>
          </cell>
        </row>
        <row r="541">
          <cell r="A541" t="str">
            <v>500000038829</v>
          </cell>
          <cell r="G541">
            <v>41.838455099999997</v>
          </cell>
          <cell r="H541">
            <v>12.420400600000001</v>
          </cell>
        </row>
        <row r="542">
          <cell r="A542" t="str">
            <v>500000124515</v>
          </cell>
          <cell r="G542">
            <v>41.836390000000002</v>
          </cell>
          <cell r="H542">
            <v>12.421317</v>
          </cell>
        </row>
        <row r="543">
          <cell r="A543" t="str">
            <v>500000083211</v>
          </cell>
          <cell r="G543">
            <v>41.844543299999998</v>
          </cell>
          <cell r="H543">
            <v>12.4381301</v>
          </cell>
        </row>
        <row r="544">
          <cell r="A544" t="str">
            <v>500000159078</v>
          </cell>
          <cell r="G544">
            <v>41.848308400000001</v>
          </cell>
          <cell r="H544">
            <v>12.4460753</v>
          </cell>
        </row>
        <row r="545">
          <cell r="A545" t="str">
            <v>500000083043</v>
          </cell>
          <cell r="G545">
            <v>41.845074400000001</v>
          </cell>
          <cell r="H545">
            <v>12.4281592</v>
          </cell>
        </row>
        <row r="546">
          <cell r="A546" t="str">
            <v>500000120353</v>
          </cell>
          <cell r="G546">
            <v>41.8431517</v>
          </cell>
          <cell r="H546">
            <v>12.436747499999999</v>
          </cell>
        </row>
        <row r="547">
          <cell r="A547" t="str">
            <v>500000120348</v>
          </cell>
          <cell r="G547">
            <v>41.8431517</v>
          </cell>
          <cell r="H547">
            <v>12.436747499999999</v>
          </cell>
        </row>
        <row r="548">
          <cell r="A548" t="str">
            <v>500000120339</v>
          </cell>
          <cell r="G548">
            <v>41.8431517</v>
          </cell>
          <cell r="H548">
            <v>12.436747499999999</v>
          </cell>
        </row>
        <row r="549">
          <cell r="A549" t="str">
            <v>500000075944</v>
          </cell>
          <cell r="G549">
            <v>41.821498800000001</v>
          </cell>
          <cell r="H549">
            <v>12.394792799999999</v>
          </cell>
        </row>
        <row r="550">
          <cell r="A550" t="str">
            <v>500000120326</v>
          </cell>
          <cell r="G550">
            <v>41.8431517</v>
          </cell>
          <cell r="H550">
            <v>12.436747499999999</v>
          </cell>
        </row>
        <row r="551">
          <cell r="A551" t="str">
            <v>500000059167</v>
          </cell>
          <cell r="G551">
            <v>41.834994199999997</v>
          </cell>
          <cell r="H551">
            <v>12.4303554</v>
          </cell>
        </row>
        <row r="552">
          <cell r="A552" t="str">
            <v>500000107198</v>
          </cell>
          <cell r="G552">
            <v>41.852133799999997</v>
          </cell>
          <cell r="H552">
            <v>12.444683899999999</v>
          </cell>
        </row>
        <row r="553">
          <cell r="A553" t="str">
            <v>500000059164</v>
          </cell>
          <cell r="G553">
            <v>41.834994199999997</v>
          </cell>
          <cell r="H553">
            <v>12.4303554</v>
          </cell>
        </row>
        <row r="554">
          <cell r="A554" t="str">
            <v>500000153065</v>
          </cell>
          <cell r="G554">
            <v>41.837925400000003</v>
          </cell>
          <cell r="H554">
            <v>12.4319752</v>
          </cell>
        </row>
        <row r="555">
          <cell r="A555" t="str">
            <v>500000059164</v>
          </cell>
          <cell r="G555">
            <v>41.834994199999997</v>
          </cell>
          <cell r="H555">
            <v>12.4303554</v>
          </cell>
        </row>
        <row r="556">
          <cell r="A556" t="str">
            <v>500000083040</v>
          </cell>
          <cell r="G556">
            <v>41.845074400000001</v>
          </cell>
          <cell r="H556">
            <v>12.4281592</v>
          </cell>
        </row>
        <row r="557">
          <cell r="A557" t="str">
            <v>500000009860</v>
          </cell>
          <cell r="G557">
            <v>41.852748300000002</v>
          </cell>
          <cell r="H557">
            <v>12.425168299999999</v>
          </cell>
        </row>
        <row r="558">
          <cell r="A558" t="str">
            <v>500000150190</v>
          </cell>
          <cell r="G558">
            <v>41.856881700000002</v>
          </cell>
          <cell r="H558">
            <v>12.4290529</v>
          </cell>
        </row>
        <row r="559">
          <cell r="A559" t="str">
            <v>500000032929</v>
          </cell>
          <cell r="G559">
            <v>41.859758599999999</v>
          </cell>
          <cell r="H559">
            <v>12.419367100000001</v>
          </cell>
        </row>
        <row r="560">
          <cell r="A560" t="str">
            <v>500000032929</v>
          </cell>
          <cell r="G560">
            <v>41.859758599999999</v>
          </cell>
          <cell r="H560">
            <v>12.419367100000001</v>
          </cell>
        </row>
        <row r="561">
          <cell r="A561" t="str">
            <v>500000096248</v>
          </cell>
          <cell r="G561">
            <v>41.852738500000001</v>
          </cell>
          <cell r="H561">
            <v>12.4131214</v>
          </cell>
        </row>
        <row r="562">
          <cell r="A562" t="str">
            <v>500000096246</v>
          </cell>
          <cell r="G562">
            <v>41.852738500000001</v>
          </cell>
          <cell r="H562">
            <v>12.4131214</v>
          </cell>
        </row>
        <row r="563">
          <cell r="A563" t="str">
            <v>500000097881</v>
          </cell>
          <cell r="G563">
            <v>41.870518400000002</v>
          </cell>
          <cell r="H563">
            <v>12.4653882</v>
          </cell>
        </row>
        <row r="564">
          <cell r="A564" t="str">
            <v>500000097869</v>
          </cell>
          <cell r="G564">
            <v>41.870518400000002</v>
          </cell>
          <cell r="H564">
            <v>12.4653882</v>
          </cell>
        </row>
        <row r="565">
          <cell r="A565" t="str">
            <v>500000139968</v>
          </cell>
          <cell r="G565">
            <v>41.851610000000001</v>
          </cell>
          <cell r="H565">
            <v>12.414733699999999</v>
          </cell>
        </row>
        <row r="566">
          <cell r="A566" t="str">
            <v>500000139968</v>
          </cell>
          <cell r="G566">
            <v>41.851610000000001</v>
          </cell>
          <cell r="H566">
            <v>12.414733699999999</v>
          </cell>
        </row>
        <row r="567">
          <cell r="A567" t="str">
            <v>500000205678</v>
          </cell>
          <cell r="G567">
            <v>41.853628999999998</v>
          </cell>
          <cell r="H567">
            <v>12.4476464</v>
          </cell>
        </row>
        <row r="568">
          <cell r="A568" t="str">
            <v>500000130443</v>
          </cell>
          <cell r="G568">
            <v>41.823333099999999</v>
          </cell>
          <cell r="H568">
            <v>12.4139968</v>
          </cell>
        </row>
        <row r="569">
          <cell r="A569" t="str">
            <v>500000098088</v>
          </cell>
          <cell r="G569">
            <v>41.870518400000002</v>
          </cell>
          <cell r="H569">
            <v>12.4653882</v>
          </cell>
        </row>
        <row r="570">
          <cell r="A570" t="str">
            <v>500000059427</v>
          </cell>
          <cell r="G570">
            <v>41.862639000000001</v>
          </cell>
          <cell r="H570">
            <v>12.4655162</v>
          </cell>
        </row>
        <row r="571">
          <cell r="A571" t="str">
            <v>500000069912</v>
          </cell>
          <cell r="G571">
            <v>41.857723200000002</v>
          </cell>
          <cell r="H571">
            <v>12.450469</v>
          </cell>
        </row>
        <row r="572">
          <cell r="A572" t="str">
            <v>500000069912</v>
          </cell>
          <cell r="G572">
            <v>41.857723200000002</v>
          </cell>
          <cell r="H572">
            <v>12.450469</v>
          </cell>
        </row>
        <row r="573">
          <cell r="A573" t="str">
            <v>500000175014</v>
          </cell>
          <cell r="G573">
            <v>41.813119999999998</v>
          </cell>
          <cell r="H573">
            <v>12.396012000000001</v>
          </cell>
        </row>
        <row r="574">
          <cell r="A574" t="str">
            <v>500000047355</v>
          </cell>
          <cell r="G574">
            <v>41.849021700000002</v>
          </cell>
          <cell r="H574">
            <v>12.450667899999999</v>
          </cell>
        </row>
        <row r="575">
          <cell r="A575" t="str">
            <v>500000100775</v>
          </cell>
          <cell r="G575">
            <v>41.870023699999997</v>
          </cell>
          <cell r="H575">
            <v>12.4672248</v>
          </cell>
        </row>
        <row r="576">
          <cell r="A576" t="str">
            <v>500000016714</v>
          </cell>
          <cell r="G576">
            <v>41.8621853</v>
          </cell>
          <cell r="H576">
            <v>12.4689797</v>
          </cell>
        </row>
        <row r="577">
          <cell r="A577" t="str">
            <v>500000204150</v>
          </cell>
          <cell r="G577">
            <v>41.854479699999999</v>
          </cell>
          <cell r="H577">
            <v>12.450822499999999</v>
          </cell>
        </row>
        <row r="578">
          <cell r="A578" t="str">
            <v>500000068605</v>
          </cell>
          <cell r="G578">
            <v>41.863422300000003</v>
          </cell>
          <cell r="H578">
            <v>12.4697491</v>
          </cell>
        </row>
        <row r="579">
          <cell r="A579" t="str">
            <v>500000014535</v>
          </cell>
          <cell r="G579">
            <v>41.858801</v>
          </cell>
          <cell r="H579">
            <v>12.4178953</v>
          </cell>
        </row>
        <row r="580">
          <cell r="A580" t="str">
            <v>500000069613</v>
          </cell>
          <cell r="G580">
            <v>41.861012600000002</v>
          </cell>
          <cell r="H580">
            <v>12.465145700000001</v>
          </cell>
        </row>
        <row r="581">
          <cell r="A581" t="str">
            <v>500000205674</v>
          </cell>
          <cell r="G581">
            <v>41.870518400000002</v>
          </cell>
          <cell r="H581">
            <v>12.4653882</v>
          </cell>
        </row>
        <row r="582">
          <cell r="A582" t="str">
            <v>500000047219</v>
          </cell>
          <cell r="G582">
            <v>41.864205499999997</v>
          </cell>
          <cell r="H582">
            <v>12.4692943</v>
          </cell>
        </row>
        <row r="583">
          <cell r="A583" t="str">
            <v>500000066217</v>
          </cell>
          <cell r="G583">
            <v>41.865286400000002</v>
          </cell>
          <cell r="H583">
            <v>12.471541</v>
          </cell>
        </row>
        <row r="584">
          <cell r="A584" t="str">
            <v>500000016574</v>
          </cell>
          <cell r="G584">
            <v>41.871713300000003</v>
          </cell>
          <cell r="H584">
            <v>12.470989599999999</v>
          </cell>
        </row>
        <row r="585">
          <cell r="A585" t="str">
            <v>500000047222</v>
          </cell>
          <cell r="G585">
            <v>41.864571099999999</v>
          </cell>
          <cell r="H585">
            <v>12.472239800000001</v>
          </cell>
        </row>
        <row r="586">
          <cell r="A586" t="str">
            <v>500000069612</v>
          </cell>
          <cell r="G586">
            <v>41.861012600000002</v>
          </cell>
          <cell r="H586">
            <v>12.465145700000001</v>
          </cell>
        </row>
        <row r="587">
          <cell r="A587" t="str">
            <v>500000068611</v>
          </cell>
          <cell r="G587">
            <v>41.862156400000003</v>
          </cell>
          <cell r="H587">
            <v>12.4696275</v>
          </cell>
        </row>
        <row r="588">
          <cell r="A588" t="str">
            <v>500000094007</v>
          </cell>
          <cell r="G588">
            <v>41.865532999999999</v>
          </cell>
          <cell r="H588">
            <v>12.4750234</v>
          </cell>
        </row>
        <row r="589">
          <cell r="A589" t="str">
            <v>500000059430</v>
          </cell>
          <cell r="G589">
            <v>41.862639000000001</v>
          </cell>
          <cell r="H589">
            <v>12.4655162</v>
          </cell>
        </row>
        <row r="590">
          <cell r="A590" t="str">
            <v>500000015957</v>
          </cell>
          <cell r="G590">
            <v>41.8631125</v>
          </cell>
          <cell r="H590">
            <v>12.4708924</v>
          </cell>
        </row>
        <row r="591">
          <cell r="A591" t="str">
            <v>500000015958</v>
          </cell>
          <cell r="G591">
            <v>41.8631125</v>
          </cell>
          <cell r="H591">
            <v>12.4708924</v>
          </cell>
        </row>
        <row r="592">
          <cell r="A592" t="str">
            <v>500000087646</v>
          </cell>
          <cell r="G592">
            <v>41.8635965</v>
          </cell>
          <cell r="H592">
            <v>12.464426700000001</v>
          </cell>
        </row>
        <row r="593">
          <cell r="A593" t="str">
            <v>500000020400</v>
          </cell>
          <cell r="G593">
            <v>41.863137000000002</v>
          </cell>
          <cell r="H593">
            <v>12.4720189</v>
          </cell>
        </row>
        <row r="594">
          <cell r="A594" t="str">
            <v>500000020401</v>
          </cell>
          <cell r="G594">
            <v>41.863137000000002</v>
          </cell>
          <cell r="H594">
            <v>12.4720189</v>
          </cell>
        </row>
        <row r="595">
          <cell r="A595" t="str">
            <v>500000020402</v>
          </cell>
          <cell r="G595">
            <v>41.863137000000002</v>
          </cell>
          <cell r="H595">
            <v>12.4720189</v>
          </cell>
        </row>
        <row r="596">
          <cell r="A596" t="str">
            <v>500000103325</v>
          </cell>
          <cell r="G596">
            <v>41.865074700000001</v>
          </cell>
          <cell r="H596">
            <v>12.470387300000001</v>
          </cell>
        </row>
        <row r="597">
          <cell r="A597" t="str">
            <v>500000110844</v>
          </cell>
          <cell r="G597">
            <v>41.862604599999997</v>
          </cell>
          <cell r="H597">
            <v>12.471681</v>
          </cell>
        </row>
        <row r="598">
          <cell r="A598" t="str">
            <v>500000068595</v>
          </cell>
          <cell r="G598">
            <v>41.866538300000002</v>
          </cell>
          <cell r="H598">
            <v>12.468882199999999</v>
          </cell>
        </row>
        <row r="599">
          <cell r="A599" t="str">
            <v>500000059430</v>
          </cell>
          <cell r="G599">
            <v>41.862639000000001</v>
          </cell>
          <cell r="H599">
            <v>12.4655162</v>
          </cell>
        </row>
        <row r="600">
          <cell r="A600" t="str">
            <v>500000087650</v>
          </cell>
          <cell r="G600">
            <v>41.8635965</v>
          </cell>
          <cell r="H600">
            <v>12.464426700000001</v>
          </cell>
        </row>
        <row r="601">
          <cell r="A601" t="str">
            <v>500000055979</v>
          </cell>
          <cell r="G601">
            <v>41.864790599999999</v>
          </cell>
          <cell r="H601">
            <v>12.4679225</v>
          </cell>
        </row>
        <row r="602">
          <cell r="A602" t="str">
            <v>500000055975</v>
          </cell>
          <cell r="G602">
            <v>41.864790599999999</v>
          </cell>
          <cell r="H602">
            <v>12.4679225</v>
          </cell>
        </row>
        <row r="603">
          <cell r="A603" t="str">
            <v>500000087651</v>
          </cell>
          <cell r="G603">
            <v>41.8635965</v>
          </cell>
          <cell r="H603">
            <v>12.464426700000001</v>
          </cell>
        </row>
        <row r="604">
          <cell r="A604" t="str">
            <v>500000068584</v>
          </cell>
          <cell r="G604">
            <v>41.868769800000003</v>
          </cell>
          <cell r="H604">
            <v>12.467750300000001</v>
          </cell>
        </row>
        <row r="605">
          <cell r="A605" t="str">
            <v>500000100779</v>
          </cell>
          <cell r="G605">
            <v>41.870023699999997</v>
          </cell>
          <cell r="H605">
            <v>12.4672248</v>
          </cell>
        </row>
        <row r="606">
          <cell r="A606" t="str">
            <v>500000009855</v>
          </cell>
          <cell r="G606">
            <v>41.852748300000002</v>
          </cell>
          <cell r="H606">
            <v>12.425168299999999</v>
          </cell>
        </row>
        <row r="607">
          <cell r="A607" t="str">
            <v>500000150191</v>
          </cell>
          <cell r="G607">
            <v>41.856881700000002</v>
          </cell>
          <cell r="H607">
            <v>12.4290529</v>
          </cell>
        </row>
        <row r="608">
          <cell r="A608" t="str">
            <v>500000015823</v>
          </cell>
          <cell r="G608">
            <v>41.8604068</v>
          </cell>
          <cell r="H608">
            <v>12.455799900000001</v>
          </cell>
        </row>
        <row r="609">
          <cell r="A609" t="str">
            <v>500000047220</v>
          </cell>
          <cell r="G609">
            <v>41.864749359999003</v>
          </cell>
          <cell r="H609">
            <v>12.472901780000001</v>
          </cell>
        </row>
        <row r="610">
          <cell r="A610" t="str">
            <v>500000068672</v>
          </cell>
          <cell r="G610">
            <v>41.860209099999999</v>
          </cell>
          <cell r="H610">
            <v>12.458497100000001</v>
          </cell>
        </row>
        <row r="611">
          <cell r="A611" t="str">
            <v>500000065785</v>
          </cell>
          <cell r="G611">
            <v>41.860600599999998</v>
          </cell>
          <cell r="H611">
            <v>12.452281899999999</v>
          </cell>
        </row>
        <row r="612">
          <cell r="A612" t="str">
            <v>500000050420</v>
          </cell>
          <cell r="G612">
            <v>41.860331700000003</v>
          </cell>
          <cell r="H612">
            <v>12.4572786</v>
          </cell>
        </row>
        <row r="613">
          <cell r="A613" t="str">
            <v>500000065782</v>
          </cell>
          <cell r="G613">
            <v>41.860600599999998</v>
          </cell>
          <cell r="H613">
            <v>12.452281899999999</v>
          </cell>
        </row>
        <row r="614">
          <cell r="A614" t="str">
            <v>500000047130</v>
          </cell>
          <cell r="G614">
            <v>41.859523299999999</v>
          </cell>
          <cell r="H614">
            <v>12.4548323</v>
          </cell>
        </row>
        <row r="615">
          <cell r="A615" t="str">
            <v>500000065036</v>
          </cell>
          <cell r="G615">
            <v>41.860840600000003</v>
          </cell>
          <cell r="H615">
            <v>12.4615081</v>
          </cell>
        </row>
        <row r="616">
          <cell r="A616" t="str">
            <v>500000051289</v>
          </cell>
          <cell r="G616">
            <v>41.860436100000001</v>
          </cell>
          <cell r="H616">
            <v>12.4538505</v>
          </cell>
        </row>
        <row r="617">
          <cell r="A617" t="str">
            <v>500000100620</v>
          </cell>
          <cell r="G617">
            <v>41.867226500000001</v>
          </cell>
          <cell r="H617">
            <v>12.4627888</v>
          </cell>
        </row>
        <row r="618">
          <cell r="A618" t="str">
            <v>500000066506</v>
          </cell>
          <cell r="G618">
            <v>41.858622699999998</v>
          </cell>
          <cell r="H618">
            <v>12.452030199999999</v>
          </cell>
        </row>
        <row r="619">
          <cell r="A619" t="str">
            <v>500000066506</v>
          </cell>
          <cell r="G619">
            <v>41.858622699999998</v>
          </cell>
          <cell r="H619">
            <v>12.452030199999999</v>
          </cell>
        </row>
        <row r="620">
          <cell r="A620" t="str">
            <v>500000097803</v>
          </cell>
          <cell r="G620">
            <v>41.870518400000002</v>
          </cell>
          <cell r="H620">
            <v>12.4653882</v>
          </cell>
        </row>
        <row r="621">
          <cell r="A621" t="str">
            <v>500000062723</v>
          </cell>
          <cell r="G621">
            <v>41.869229199999999</v>
          </cell>
          <cell r="H621">
            <v>12.462877300000001</v>
          </cell>
        </row>
        <row r="622">
          <cell r="A622" t="str">
            <v>500000093871</v>
          </cell>
          <cell r="G622">
            <v>41.8545655</v>
          </cell>
          <cell r="H622">
            <v>12.452363</v>
          </cell>
        </row>
        <row r="623">
          <cell r="A623" t="str">
            <v>500000070894</v>
          </cell>
          <cell r="G623">
            <v>41.849196999999997</v>
          </cell>
          <cell r="H623">
            <v>12.4611974</v>
          </cell>
        </row>
        <row r="624">
          <cell r="A624" t="str">
            <v>500000075921</v>
          </cell>
          <cell r="G624">
            <v>41.821498800000001</v>
          </cell>
          <cell r="H624">
            <v>12.394792799999999</v>
          </cell>
        </row>
        <row r="625">
          <cell r="A625" t="str">
            <v>500000075862</v>
          </cell>
          <cell r="G625">
            <v>41.821498800000001</v>
          </cell>
          <cell r="H625">
            <v>12.394792799999999</v>
          </cell>
        </row>
        <row r="626">
          <cell r="A626" t="str">
            <v>500000075920</v>
          </cell>
          <cell r="G626">
            <v>41.821498800000001</v>
          </cell>
          <cell r="H626">
            <v>12.394792799999999</v>
          </cell>
        </row>
        <row r="627">
          <cell r="A627" t="str">
            <v>500000075897</v>
          </cell>
          <cell r="G627">
            <v>41.821498800000001</v>
          </cell>
          <cell r="H627">
            <v>12.394792799999999</v>
          </cell>
        </row>
        <row r="628">
          <cell r="A628" t="str">
            <v>500000019736</v>
          </cell>
          <cell r="G628">
            <v>41.853244599999996</v>
          </cell>
          <cell r="H628">
            <v>12.456374800000001</v>
          </cell>
        </row>
        <row r="629">
          <cell r="A629" t="str">
            <v>500000093865</v>
          </cell>
          <cell r="G629">
            <v>41.842407199999997</v>
          </cell>
          <cell r="H629">
            <v>12.440671</v>
          </cell>
        </row>
        <row r="630">
          <cell r="A630" t="str">
            <v>500000009858</v>
          </cell>
          <cell r="G630">
            <v>41.852748300000002</v>
          </cell>
          <cell r="H630">
            <v>12.425168299999999</v>
          </cell>
        </row>
        <row r="631">
          <cell r="A631" t="str">
            <v>500000083206</v>
          </cell>
          <cell r="G631">
            <v>41.844543299999998</v>
          </cell>
          <cell r="H631">
            <v>12.4381301</v>
          </cell>
        </row>
        <row r="632">
          <cell r="A632" t="str">
            <v>500000134765</v>
          </cell>
          <cell r="G632">
            <v>41.836736500000001</v>
          </cell>
          <cell r="H632">
            <v>12.4262792</v>
          </cell>
        </row>
        <row r="633">
          <cell r="A633" t="str">
            <v>500000120311</v>
          </cell>
          <cell r="G633">
            <v>41.8431517</v>
          </cell>
          <cell r="H633">
            <v>12.436747499999999</v>
          </cell>
        </row>
        <row r="634">
          <cell r="A634" t="str">
            <v>500000204239</v>
          </cell>
          <cell r="G634">
            <v>41.837925400000003</v>
          </cell>
          <cell r="H634">
            <v>12.4319752</v>
          </cell>
        </row>
        <row r="635">
          <cell r="A635" t="str">
            <v>500000114549</v>
          </cell>
          <cell r="G635">
            <v>41.834428600000003</v>
          </cell>
          <cell r="H635">
            <v>12.433839799999999</v>
          </cell>
        </row>
        <row r="636">
          <cell r="A636" t="str">
            <v>500000123535</v>
          </cell>
          <cell r="G636">
            <v>41.843424800000001</v>
          </cell>
          <cell r="H636">
            <v>12.4382193</v>
          </cell>
        </row>
        <row r="637">
          <cell r="A637" t="str">
            <v>500000120343</v>
          </cell>
          <cell r="G637">
            <v>41.8431517</v>
          </cell>
          <cell r="H637">
            <v>12.436747499999999</v>
          </cell>
        </row>
        <row r="638">
          <cell r="A638" t="str">
            <v>500000083043</v>
          </cell>
          <cell r="G638">
            <v>41.845074400000001</v>
          </cell>
          <cell r="H638">
            <v>12.4281592</v>
          </cell>
        </row>
        <row r="639">
          <cell r="A639" t="str">
            <v>500000036006</v>
          </cell>
          <cell r="G639">
            <v>41.843478599999997</v>
          </cell>
          <cell r="H639">
            <v>12.4276889</v>
          </cell>
        </row>
        <row r="640">
          <cell r="A640" t="str">
            <v>500000063737</v>
          </cell>
          <cell r="G640">
            <v>41.842198699999997</v>
          </cell>
          <cell r="H640">
            <v>12.441648199999999</v>
          </cell>
        </row>
        <row r="641">
          <cell r="A641" t="str">
            <v>500000120339</v>
          </cell>
          <cell r="G641">
            <v>41.8431517</v>
          </cell>
          <cell r="H641">
            <v>12.436747499999999</v>
          </cell>
        </row>
        <row r="642">
          <cell r="A642" t="str">
            <v>500000107195</v>
          </cell>
          <cell r="G642">
            <v>41.852133799999997</v>
          </cell>
          <cell r="H642">
            <v>12.444683899999999</v>
          </cell>
        </row>
        <row r="643">
          <cell r="A643" t="str">
            <v>500000059167</v>
          </cell>
          <cell r="G643">
            <v>41.834994199999997</v>
          </cell>
          <cell r="H643">
            <v>12.4303554</v>
          </cell>
        </row>
        <row r="644">
          <cell r="A644" t="str">
            <v>500000083033</v>
          </cell>
          <cell r="G644">
            <v>41.845074400000001</v>
          </cell>
          <cell r="H644">
            <v>12.4281592</v>
          </cell>
        </row>
        <row r="645">
          <cell r="A645" t="str">
            <v>500000027330</v>
          </cell>
          <cell r="G645">
            <v>41.8562826</v>
          </cell>
          <cell r="H645">
            <v>12.422466399999999</v>
          </cell>
        </row>
        <row r="646">
          <cell r="A646" t="str">
            <v>500000265652</v>
          </cell>
          <cell r="G646">
            <v>41.870518400000002</v>
          </cell>
          <cell r="H646">
            <v>12.4653882</v>
          </cell>
        </row>
        <row r="647">
          <cell r="A647" t="str">
            <v>500000032912</v>
          </cell>
          <cell r="G647">
            <v>41.859758599999999</v>
          </cell>
          <cell r="H647">
            <v>12.419367100000001</v>
          </cell>
        </row>
        <row r="648">
          <cell r="A648" t="str">
            <v>500000032912</v>
          </cell>
          <cell r="G648">
            <v>41.859758599999999</v>
          </cell>
          <cell r="H648">
            <v>12.419367100000001</v>
          </cell>
        </row>
        <row r="649">
          <cell r="A649" t="str">
            <v>500000014537</v>
          </cell>
          <cell r="G649">
            <v>41.858801</v>
          </cell>
          <cell r="H649">
            <v>12.4178953</v>
          </cell>
        </row>
        <row r="650">
          <cell r="A650" t="str">
            <v>500000139972</v>
          </cell>
          <cell r="G650">
            <v>41.851610000000001</v>
          </cell>
          <cell r="H650">
            <v>12.414733699999999</v>
          </cell>
        </row>
        <row r="651">
          <cell r="A651" t="str">
            <v>500000027332</v>
          </cell>
          <cell r="G651">
            <v>41.8562826</v>
          </cell>
          <cell r="H651">
            <v>12.422466399999999</v>
          </cell>
        </row>
        <row r="652">
          <cell r="A652" t="str">
            <v>500000098089</v>
          </cell>
          <cell r="G652">
            <v>41.870518400000002</v>
          </cell>
          <cell r="H652">
            <v>12.4653882</v>
          </cell>
        </row>
        <row r="653">
          <cell r="A653" t="str">
            <v>500000096245</v>
          </cell>
          <cell r="G653">
            <v>41.852738500000001</v>
          </cell>
          <cell r="H653">
            <v>12.4131214</v>
          </cell>
        </row>
        <row r="654">
          <cell r="A654" t="str">
            <v>500000204096</v>
          </cell>
          <cell r="G654">
            <v>41.834428600000003</v>
          </cell>
          <cell r="H654">
            <v>12.433839799999999</v>
          </cell>
        </row>
        <row r="655">
          <cell r="A655" t="str">
            <v>500000139973</v>
          </cell>
          <cell r="G655">
            <v>41.851610000000001</v>
          </cell>
          <cell r="H655">
            <v>12.414733699999999</v>
          </cell>
        </row>
        <row r="656">
          <cell r="A656" t="str">
            <v>500000139973</v>
          </cell>
          <cell r="G656">
            <v>41.851610000000001</v>
          </cell>
          <cell r="H656">
            <v>12.414733699999999</v>
          </cell>
        </row>
        <row r="657">
          <cell r="A657" t="str">
            <v>500000096247</v>
          </cell>
          <cell r="G657">
            <v>41.852738500000001</v>
          </cell>
          <cell r="H657">
            <v>12.4131214</v>
          </cell>
        </row>
        <row r="658">
          <cell r="A658" t="str">
            <v>500000130443</v>
          </cell>
          <cell r="G658">
            <v>41.823333099999999</v>
          </cell>
          <cell r="H658">
            <v>12.4139968</v>
          </cell>
        </row>
        <row r="659">
          <cell r="A659" t="str">
            <v>500000063726</v>
          </cell>
          <cell r="G659">
            <v>41.842198699999997</v>
          </cell>
          <cell r="H659">
            <v>12.441648199999999</v>
          </cell>
        </row>
        <row r="660">
          <cell r="A660" t="str">
            <v>500000205627</v>
          </cell>
          <cell r="G660">
            <v>41.870518400000002</v>
          </cell>
          <cell r="H660">
            <v>12.4653882</v>
          </cell>
        </row>
        <row r="661">
          <cell r="A661" t="str">
            <v>500000067765</v>
          </cell>
          <cell r="G661">
            <v>41.870566699999998</v>
          </cell>
          <cell r="H661">
            <v>12.4634237</v>
          </cell>
        </row>
        <row r="662">
          <cell r="A662" t="str">
            <v>500000016573</v>
          </cell>
          <cell r="G662">
            <v>41.871713300000003</v>
          </cell>
          <cell r="H662">
            <v>12.470989599999999</v>
          </cell>
        </row>
        <row r="663">
          <cell r="A663" t="str">
            <v>500000173016</v>
          </cell>
          <cell r="G663">
            <v>41.829985999999998</v>
          </cell>
          <cell r="H663">
            <v>12.3987549</v>
          </cell>
        </row>
        <row r="664">
          <cell r="A664" t="str">
            <v>500000173016</v>
          </cell>
          <cell r="G664">
            <v>41.829985999999998</v>
          </cell>
          <cell r="H664">
            <v>12.3987549</v>
          </cell>
        </row>
        <row r="665">
          <cell r="A665" t="str">
            <v>500000094972</v>
          </cell>
          <cell r="G665">
            <v>41.8583189</v>
          </cell>
          <cell r="H665">
            <v>12.451320600000001</v>
          </cell>
        </row>
        <row r="666">
          <cell r="A666" t="str">
            <v>500000075989</v>
          </cell>
          <cell r="G666">
            <v>41.821498800000001</v>
          </cell>
          <cell r="H666">
            <v>12.394792799999999</v>
          </cell>
        </row>
        <row r="667">
          <cell r="A667" t="str">
            <v>500000058110</v>
          </cell>
          <cell r="G667">
            <v>41.858988799998997</v>
          </cell>
          <cell r="H667">
            <v>12.458959200000001</v>
          </cell>
        </row>
        <row r="668">
          <cell r="A668" t="str">
            <v>500000083030</v>
          </cell>
          <cell r="G668">
            <v>41.845074400000001</v>
          </cell>
          <cell r="H668">
            <v>12.4281592</v>
          </cell>
        </row>
        <row r="669">
          <cell r="A669" t="str">
            <v>500000094608</v>
          </cell>
          <cell r="G669">
            <v>41.853891400000002</v>
          </cell>
          <cell r="H669">
            <v>12.449409299999999</v>
          </cell>
        </row>
        <row r="670">
          <cell r="A670" t="str">
            <v>500000069436</v>
          </cell>
          <cell r="G670">
            <v>41.850358300000003</v>
          </cell>
          <cell r="H670">
            <v>12.4457421</v>
          </cell>
        </row>
        <row r="671">
          <cell r="A671" t="str">
            <v>500000044260</v>
          </cell>
          <cell r="G671">
            <v>41.858250499999997</v>
          </cell>
          <cell r="H671">
            <v>12.417792800000001</v>
          </cell>
        </row>
        <row r="672">
          <cell r="A672" t="str">
            <v>500000026385</v>
          </cell>
          <cell r="G672">
            <v>41.849945400000003</v>
          </cell>
          <cell r="H672">
            <v>12.452703</v>
          </cell>
        </row>
        <row r="673">
          <cell r="A673" t="str">
            <v>500000015957</v>
          </cell>
          <cell r="G673">
            <v>41.8631125</v>
          </cell>
          <cell r="H673">
            <v>12.4708924</v>
          </cell>
        </row>
        <row r="674">
          <cell r="A674" t="str">
            <v>500000205374</v>
          </cell>
          <cell r="G674">
            <v>41.870518400000002</v>
          </cell>
          <cell r="H674">
            <v>12.4653882</v>
          </cell>
        </row>
        <row r="675">
          <cell r="A675" t="str">
            <v>500000066217</v>
          </cell>
          <cell r="G675">
            <v>41.865286400000002</v>
          </cell>
          <cell r="H675">
            <v>12.471541</v>
          </cell>
        </row>
        <row r="676">
          <cell r="A676" t="str">
            <v>500000058110</v>
          </cell>
          <cell r="G676">
            <v>41.858988799998997</v>
          </cell>
          <cell r="H676">
            <v>12.458959200000001</v>
          </cell>
        </row>
        <row r="677">
          <cell r="A677" t="str">
            <v>500000055978</v>
          </cell>
          <cell r="G677">
            <v>41.864790599999999</v>
          </cell>
          <cell r="H677">
            <v>12.4679225</v>
          </cell>
        </row>
        <row r="678">
          <cell r="A678" t="str">
            <v>500000068587</v>
          </cell>
          <cell r="G678">
            <v>41.8681999</v>
          </cell>
          <cell r="H678">
            <v>12.4683993</v>
          </cell>
        </row>
        <row r="679">
          <cell r="A679" t="str">
            <v>500000094205</v>
          </cell>
          <cell r="G679">
            <v>41.866013600000002</v>
          </cell>
          <cell r="H679">
            <v>12.4715598</v>
          </cell>
        </row>
        <row r="680">
          <cell r="A680" t="str">
            <v>500000069611</v>
          </cell>
          <cell r="G680">
            <v>41.861012600000002</v>
          </cell>
          <cell r="H680">
            <v>12.465145700000001</v>
          </cell>
        </row>
        <row r="681">
          <cell r="A681" t="str">
            <v>500000020400</v>
          </cell>
          <cell r="G681">
            <v>41.863137000000002</v>
          </cell>
          <cell r="H681">
            <v>12.4720189</v>
          </cell>
        </row>
        <row r="682">
          <cell r="A682" t="str">
            <v>500000019915</v>
          </cell>
          <cell r="G682">
            <v>41.861465000000003</v>
          </cell>
          <cell r="H682">
            <v>12.470048</v>
          </cell>
        </row>
        <row r="683">
          <cell r="A683" t="str">
            <v>500000059424</v>
          </cell>
          <cell r="G683">
            <v>41.862639000000001</v>
          </cell>
          <cell r="H683">
            <v>12.4655162</v>
          </cell>
        </row>
        <row r="684">
          <cell r="A684" t="str">
            <v>500000110842</v>
          </cell>
          <cell r="G684">
            <v>41.862604599999997</v>
          </cell>
          <cell r="H684">
            <v>12.471681</v>
          </cell>
        </row>
        <row r="685">
          <cell r="A685" t="str">
            <v>500000087652</v>
          </cell>
          <cell r="G685">
            <v>41.8635965</v>
          </cell>
          <cell r="H685">
            <v>12.464426700000001</v>
          </cell>
        </row>
        <row r="686">
          <cell r="A686" t="str">
            <v>500000055979</v>
          </cell>
          <cell r="G686">
            <v>41.864790599999999</v>
          </cell>
          <cell r="H686">
            <v>12.4679225</v>
          </cell>
        </row>
        <row r="687">
          <cell r="A687" t="str">
            <v>500000087638</v>
          </cell>
          <cell r="G687">
            <v>41.8635965</v>
          </cell>
          <cell r="H687">
            <v>12.464426700000001</v>
          </cell>
        </row>
        <row r="688">
          <cell r="A688" t="str">
            <v>500000100774</v>
          </cell>
          <cell r="G688">
            <v>41.870023699999997</v>
          </cell>
          <cell r="H688">
            <v>12.4672248</v>
          </cell>
        </row>
        <row r="689">
          <cell r="A689" t="str">
            <v>500000063720</v>
          </cell>
          <cell r="G689">
            <v>41.842391120000002</v>
          </cell>
          <cell r="H689">
            <v>12.44165317</v>
          </cell>
        </row>
        <row r="690">
          <cell r="A690" t="str">
            <v>500000025637</v>
          </cell>
          <cell r="G690">
            <v>41.853047799999999</v>
          </cell>
          <cell r="H690">
            <v>12.4285136</v>
          </cell>
        </row>
        <row r="691">
          <cell r="A691" t="str">
            <v>500000025637</v>
          </cell>
          <cell r="G691">
            <v>41.853047799999999</v>
          </cell>
          <cell r="H691">
            <v>12.4285136</v>
          </cell>
        </row>
        <row r="692">
          <cell r="A692" t="str">
            <v>500000097884</v>
          </cell>
          <cell r="G692">
            <v>41.870518400000002</v>
          </cell>
          <cell r="H692">
            <v>12.4653882</v>
          </cell>
        </row>
        <row r="693">
          <cell r="A693" t="str">
            <v>500000010204</v>
          </cell>
          <cell r="G693">
            <v>41.85998</v>
          </cell>
          <cell r="H693">
            <v>12.434444600000001</v>
          </cell>
        </row>
        <row r="694">
          <cell r="A694" t="str">
            <v>500000032896</v>
          </cell>
          <cell r="G694">
            <v>41.859758599999999</v>
          </cell>
          <cell r="H694">
            <v>12.419367100000001</v>
          </cell>
        </row>
        <row r="695">
          <cell r="A695" t="str">
            <v>500000032896</v>
          </cell>
          <cell r="G695">
            <v>41.859758599999999</v>
          </cell>
          <cell r="H695">
            <v>12.419367100000001</v>
          </cell>
        </row>
        <row r="696">
          <cell r="A696" t="str">
            <v>500000061712</v>
          </cell>
          <cell r="G696">
            <v>41.8599836</v>
          </cell>
          <cell r="H696">
            <v>12.452554900000001</v>
          </cell>
        </row>
        <row r="697">
          <cell r="A697" t="str">
            <v>500000071807</v>
          </cell>
          <cell r="G697">
            <v>41.863008100000002</v>
          </cell>
          <cell r="H697">
            <v>12.459636400000001</v>
          </cell>
        </row>
        <row r="698">
          <cell r="A698" t="str">
            <v>500000015822</v>
          </cell>
          <cell r="G698">
            <v>41.8604068</v>
          </cell>
          <cell r="H698">
            <v>12.455799900000001</v>
          </cell>
        </row>
        <row r="699">
          <cell r="A699" t="str">
            <v>500000058088</v>
          </cell>
          <cell r="G699">
            <v>41.862415599999999</v>
          </cell>
          <cell r="H699">
            <v>12.4583496</v>
          </cell>
        </row>
        <row r="700">
          <cell r="A700" t="str">
            <v>500000058088</v>
          </cell>
          <cell r="G700">
            <v>41.862415599999999</v>
          </cell>
          <cell r="H700">
            <v>12.4583496</v>
          </cell>
        </row>
        <row r="701">
          <cell r="A701" t="str">
            <v>500000205676</v>
          </cell>
          <cell r="G701">
            <v>41.870518400000002</v>
          </cell>
          <cell r="H701">
            <v>12.4653882</v>
          </cell>
        </row>
        <row r="702">
          <cell r="A702" t="str">
            <v>500000055575</v>
          </cell>
          <cell r="G702">
            <v>41.8605491</v>
          </cell>
          <cell r="H702">
            <v>12.4544304</v>
          </cell>
        </row>
        <row r="703">
          <cell r="A703" t="str">
            <v>500000047356</v>
          </cell>
          <cell r="G703">
            <v>41.849021700000002</v>
          </cell>
          <cell r="H703">
            <v>12.450667899999999</v>
          </cell>
        </row>
        <row r="704">
          <cell r="A704" t="str">
            <v>500000205676</v>
          </cell>
          <cell r="G704">
            <v>41.870518400000002</v>
          </cell>
          <cell r="H704">
            <v>12.4653882</v>
          </cell>
        </row>
        <row r="705">
          <cell r="A705" t="str">
            <v>500000066504</v>
          </cell>
          <cell r="G705">
            <v>41.858622699999998</v>
          </cell>
          <cell r="H705">
            <v>12.452030199999999</v>
          </cell>
        </row>
        <row r="706">
          <cell r="A706" t="str">
            <v>500000094514</v>
          </cell>
          <cell r="G706">
            <v>41.853628999999998</v>
          </cell>
          <cell r="H706">
            <v>12.4476464</v>
          </cell>
        </row>
        <row r="707">
          <cell r="A707" t="str">
            <v>500000046696</v>
          </cell>
          <cell r="G707">
            <v>41.857885899999999</v>
          </cell>
          <cell r="H707">
            <v>12.455242200000001</v>
          </cell>
        </row>
        <row r="708">
          <cell r="A708" t="str">
            <v>500000097803</v>
          </cell>
          <cell r="G708">
            <v>41.870518400000002</v>
          </cell>
          <cell r="H708">
            <v>12.4653882</v>
          </cell>
        </row>
        <row r="709">
          <cell r="A709" t="str">
            <v>500000066429</v>
          </cell>
          <cell r="G709">
            <v>41.855439699999998</v>
          </cell>
          <cell r="H709">
            <v>12.4485481</v>
          </cell>
        </row>
        <row r="710">
          <cell r="A710" t="str">
            <v>500000062721</v>
          </cell>
          <cell r="G710">
            <v>41.869229199999999</v>
          </cell>
          <cell r="H710">
            <v>12.462877300000001</v>
          </cell>
        </row>
        <row r="711">
          <cell r="A711" t="str">
            <v>500000069255</v>
          </cell>
          <cell r="G711">
            <v>41.8523779</v>
          </cell>
          <cell r="H711">
            <v>12.449355799999999</v>
          </cell>
        </row>
        <row r="712">
          <cell r="A712" t="str">
            <v>500000093871</v>
          </cell>
          <cell r="G712">
            <v>41.8545655</v>
          </cell>
          <cell r="H712">
            <v>12.452363</v>
          </cell>
        </row>
        <row r="713">
          <cell r="A713" t="str">
            <v>500000058182</v>
          </cell>
          <cell r="G713">
            <v>41.855755100000003</v>
          </cell>
          <cell r="H713">
            <v>12.4461976</v>
          </cell>
        </row>
        <row r="714">
          <cell r="A714" t="str">
            <v>500000058179</v>
          </cell>
          <cell r="G714">
            <v>41.855755100000003</v>
          </cell>
          <cell r="H714">
            <v>12.4461976</v>
          </cell>
        </row>
        <row r="715">
          <cell r="A715" t="str">
            <v>500000099778</v>
          </cell>
          <cell r="G715">
            <v>41.855813499999996</v>
          </cell>
          <cell r="H715">
            <v>12.450601900000001</v>
          </cell>
        </row>
        <row r="716">
          <cell r="A716" t="str">
            <v>500000099779</v>
          </cell>
          <cell r="G716">
            <v>41.855813499999996</v>
          </cell>
          <cell r="H716">
            <v>12.450601900000001</v>
          </cell>
        </row>
        <row r="717">
          <cell r="A717" t="str">
            <v>500000039409</v>
          </cell>
          <cell r="G717">
            <v>41.845775000000003</v>
          </cell>
          <cell r="H717">
            <v>12.457798500000001</v>
          </cell>
        </row>
        <row r="718">
          <cell r="A718" t="str">
            <v>500000036014</v>
          </cell>
          <cell r="G718">
            <v>41.8482944</v>
          </cell>
          <cell r="H718">
            <v>12.463433999999999</v>
          </cell>
        </row>
        <row r="719">
          <cell r="A719" t="str">
            <v>500000075882</v>
          </cell>
          <cell r="G719">
            <v>41.821498800000001</v>
          </cell>
          <cell r="H719">
            <v>12.394792799999999</v>
          </cell>
        </row>
        <row r="720">
          <cell r="A720" t="str">
            <v>500000075903</v>
          </cell>
          <cell r="G720">
            <v>41.821498800000001</v>
          </cell>
          <cell r="H720">
            <v>12.394792799999999</v>
          </cell>
        </row>
        <row r="721">
          <cell r="A721" t="str">
            <v>500000075903</v>
          </cell>
          <cell r="G721">
            <v>41.821498800000001</v>
          </cell>
          <cell r="H721">
            <v>12.394792799999999</v>
          </cell>
        </row>
        <row r="722">
          <cell r="A722" t="str">
            <v>500000075901</v>
          </cell>
          <cell r="G722">
            <v>41.821498800000001</v>
          </cell>
          <cell r="H722">
            <v>12.394792799999999</v>
          </cell>
        </row>
        <row r="723">
          <cell r="A723" t="str">
            <v>500000075866</v>
          </cell>
          <cell r="G723">
            <v>41.821498800000001</v>
          </cell>
          <cell r="H723">
            <v>12.394792799999999</v>
          </cell>
        </row>
        <row r="724">
          <cell r="A724" t="str">
            <v>500000075909</v>
          </cell>
          <cell r="G724">
            <v>41.821498800000001</v>
          </cell>
          <cell r="H724">
            <v>12.394792799999999</v>
          </cell>
        </row>
        <row r="725">
          <cell r="A725" t="str">
            <v>500000043679</v>
          </cell>
          <cell r="G725">
            <v>41.848468500000003</v>
          </cell>
          <cell r="H725">
            <v>12.461631799999999</v>
          </cell>
        </row>
        <row r="726">
          <cell r="A726" t="str">
            <v>500000069434</v>
          </cell>
          <cell r="G726">
            <v>41.850358300000003</v>
          </cell>
          <cell r="H726">
            <v>12.4457421</v>
          </cell>
        </row>
        <row r="727">
          <cell r="A727" t="str">
            <v>500000032901</v>
          </cell>
          <cell r="G727">
            <v>41.859758599999999</v>
          </cell>
          <cell r="H727">
            <v>12.419367100000001</v>
          </cell>
        </row>
        <row r="728">
          <cell r="A728" t="str">
            <v>500000124524</v>
          </cell>
          <cell r="G728">
            <v>41.836390000000002</v>
          </cell>
          <cell r="H728">
            <v>12.421317</v>
          </cell>
        </row>
        <row r="729">
          <cell r="A729" t="str">
            <v>500000124524</v>
          </cell>
          <cell r="G729">
            <v>41.836390000000002</v>
          </cell>
          <cell r="H729">
            <v>12.421317</v>
          </cell>
        </row>
        <row r="730">
          <cell r="A730" t="str">
            <v>500000069255</v>
          </cell>
          <cell r="G730">
            <v>41.8523779</v>
          </cell>
          <cell r="H730">
            <v>12.449355799999999</v>
          </cell>
        </row>
        <row r="731">
          <cell r="A731" t="str">
            <v>500000134759</v>
          </cell>
          <cell r="G731">
            <v>41.836736500000001</v>
          </cell>
          <cell r="H731">
            <v>12.4262792</v>
          </cell>
        </row>
        <row r="732">
          <cell r="A732" t="str">
            <v>500000123531</v>
          </cell>
          <cell r="G732">
            <v>41.843424800000001</v>
          </cell>
          <cell r="H732">
            <v>12.4382193</v>
          </cell>
        </row>
        <row r="733">
          <cell r="A733" t="str">
            <v>500000153064</v>
          </cell>
          <cell r="G733">
            <v>41.837925400000003</v>
          </cell>
          <cell r="H733">
            <v>12.4319752</v>
          </cell>
        </row>
        <row r="734">
          <cell r="A734" t="str">
            <v>500000036007</v>
          </cell>
          <cell r="G734">
            <v>41.843478599999997</v>
          </cell>
          <cell r="H734">
            <v>12.4276889</v>
          </cell>
        </row>
        <row r="735">
          <cell r="A735" t="str">
            <v>500000093868</v>
          </cell>
          <cell r="G735">
            <v>41.842407199999997</v>
          </cell>
          <cell r="H735">
            <v>12.440671</v>
          </cell>
        </row>
        <row r="736">
          <cell r="A736" t="str">
            <v>500000063736</v>
          </cell>
          <cell r="G736">
            <v>41.842198699999997</v>
          </cell>
          <cell r="H736">
            <v>12.441648199999999</v>
          </cell>
        </row>
        <row r="737">
          <cell r="A737" t="str">
            <v>500000123533</v>
          </cell>
          <cell r="G737">
            <v>41.843424800000001</v>
          </cell>
          <cell r="H737">
            <v>12.4382193</v>
          </cell>
        </row>
        <row r="738">
          <cell r="A738" t="str">
            <v>500000059167</v>
          </cell>
          <cell r="G738">
            <v>41.834994199999997</v>
          </cell>
          <cell r="H738">
            <v>12.4303554</v>
          </cell>
        </row>
        <row r="739">
          <cell r="A739" t="str">
            <v>500000123539</v>
          </cell>
          <cell r="G739">
            <v>41.843424800000001</v>
          </cell>
          <cell r="H739">
            <v>12.4382193</v>
          </cell>
        </row>
        <row r="740">
          <cell r="A740" t="str">
            <v>500000120322</v>
          </cell>
          <cell r="G740">
            <v>41.8431517</v>
          </cell>
          <cell r="H740">
            <v>12.436747499999999</v>
          </cell>
        </row>
        <row r="741">
          <cell r="A741" t="str">
            <v>500000083039</v>
          </cell>
          <cell r="G741">
            <v>41.845074400000001</v>
          </cell>
          <cell r="H741">
            <v>12.4281592</v>
          </cell>
        </row>
        <row r="742">
          <cell r="A742" t="str">
            <v>500000032923</v>
          </cell>
          <cell r="G742">
            <v>41.859758599999999</v>
          </cell>
          <cell r="H742">
            <v>12.419367100000001</v>
          </cell>
        </row>
        <row r="743">
          <cell r="A743" t="str">
            <v>500000032923</v>
          </cell>
          <cell r="G743">
            <v>41.859758599999999</v>
          </cell>
          <cell r="H743">
            <v>12.419367100000001</v>
          </cell>
        </row>
        <row r="744">
          <cell r="A744" t="str">
            <v>500000125886</v>
          </cell>
          <cell r="G744">
            <v>41.857720999999998</v>
          </cell>
          <cell r="H744">
            <v>12.417929900000001</v>
          </cell>
        </row>
        <row r="745">
          <cell r="A745" t="str">
            <v>500000032940</v>
          </cell>
          <cell r="G745">
            <v>41.859758599999999</v>
          </cell>
          <cell r="H745">
            <v>12.419367100000001</v>
          </cell>
        </row>
        <row r="746">
          <cell r="A746" t="str">
            <v>500000032940</v>
          </cell>
          <cell r="G746">
            <v>41.859758599999999</v>
          </cell>
          <cell r="H746">
            <v>12.419367100000001</v>
          </cell>
        </row>
        <row r="747">
          <cell r="A747" t="str">
            <v>500000205675</v>
          </cell>
          <cell r="G747">
            <v>41.870518400000002</v>
          </cell>
          <cell r="H747">
            <v>12.4653882</v>
          </cell>
        </row>
        <row r="748">
          <cell r="A748" t="str">
            <v>500000027332</v>
          </cell>
          <cell r="G748">
            <v>41.8562826</v>
          </cell>
          <cell r="H748">
            <v>12.422466399999999</v>
          </cell>
        </row>
        <row r="749">
          <cell r="A749" t="str">
            <v>500000010205</v>
          </cell>
          <cell r="G749">
            <v>41.85998</v>
          </cell>
          <cell r="H749">
            <v>12.434444600000001</v>
          </cell>
        </row>
        <row r="750">
          <cell r="A750" t="str">
            <v>500000177647</v>
          </cell>
          <cell r="G750">
            <v>41.855792200000003</v>
          </cell>
          <cell r="H750">
            <v>12.4143522</v>
          </cell>
        </row>
        <row r="751">
          <cell r="A751" t="str">
            <v>500000177647</v>
          </cell>
          <cell r="G751">
            <v>41.855792200000003</v>
          </cell>
          <cell r="H751">
            <v>12.4143522</v>
          </cell>
        </row>
        <row r="752">
          <cell r="A752" t="str">
            <v>500000139972</v>
          </cell>
          <cell r="G752">
            <v>41.851610000000001</v>
          </cell>
          <cell r="H752">
            <v>12.414733699999999</v>
          </cell>
        </row>
        <row r="753">
          <cell r="A753" t="str">
            <v>500000096249</v>
          </cell>
          <cell r="G753">
            <v>41.852738500000001</v>
          </cell>
          <cell r="H753">
            <v>12.4131214</v>
          </cell>
        </row>
        <row r="754">
          <cell r="A754" t="str">
            <v>500000122344</v>
          </cell>
          <cell r="G754">
            <v>41.830034400000002</v>
          </cell>
          <cell r="H754">
            <v>12.381682899999999</v>
          </cell>
        </row>
        <row r="755">
          <cell r="A755" t="str">
            <v>500000139972</v>
          </cell>
          <cell r="G755">
            <v>41.851610000000001</v>
          </cell>
          <cell r="H755">
            <v>12.414733699999999</v>
          </cell>
        </row>
        <row r="756">
          <cell r="A756" t="str">
            <v>500000096248</v>
          </cell>
          <cell r="G756">
            <v>41.852738500000001</v>
          </cell>
          <cell r="H756">
            <v>12.4131214</v>
          </cell>
        </row>
        <row r="757">
          <cell r="A757" t="str">
            <v>500000097860</v>
          </cell>
          <cell r="G757">
            <v>41.870518400000002</v>
          </cell>
          <cell r="H757">
            <v>12.4653882</v>
          </cell>
        </row>
        <row r="758">
          <cell r="A758" t="str">
            <v>500000096245</v>
          </cell>
          <cell r="G758">
            <v>41.852738500000001</v>
          </cell>
          <cell r="H758">
            <v>12.4131214</v>
          </cell>
        </row>
        <row r="759">
          <cell r="A759" t="str">
            <v>500000068603</v>
          </cell>
          <cell r="G759">
            <v>41.865211799999997</v>
          </cell>
          <cell r="H759">
            <v>12.4687611</v>
          </cell>
        </row>
        <row r="760">
          <cell r="A760" t="str">
            <v>500000203597</v>
          </cell>
          <cell r="G760">
            <v>41.859758599999999</v>
          </cell>
          <cell r="H760">
            <v>12.419367100000001</v>
          </cell>
        </row>
        <row r="761">
          <cell r="A761" t="str">
            <v>500000203597</v>
          </cell>
          <cell r="G761">
            <v>41.859758599999999</v>
          </cell>
          <cell r="H761">
            <v>12.419367100000001</v>
          </cell>
        </row>
        <row r="762">
          <cell r="A762" t="str">
            <v>500000120322</v>
          </cell>
          <cell r="G762">
            <v>41.8431517</v>
          </cell>
          <cell r="H762">
            <v>12.436747499999999</v>
          </cell>
        </row>
        <row r="763">
          <cell r="A763" t="str">
            <v>500000173021</v>
          </cell>
          <cell r="G763">
            <v>41.828956900000001</v>
          </cell>
          <cell r="H763">
            <v>12.3935312</v>
          </cell>
        </row>
        <row r="764">
          <cell r="A764" t="str">
            <v>500000075992</v>
          </cell>
          <cell r="G764">
            <v>41.821498800000001</v>
          </cell>
          <cell r="H764">
            <v>12.394792799999999</v>
          </cell>
        </row>
        <row r="765">
          <cell r="A765" t="str">
            <v>500000203867</v>
          </cell>
          <cell r="G765">
            <v>41.857723200000002</v>
          </cell>
          <cell r="H765">
            <v>12.450469</v>
          </cell>
        </row>
        <row r="766">
          <cell r="A766" t="str">
            <v>500000016714</v>
          </cell>
          <cell r="G766">
            <v>41.8621853</v>
          </cell>
          <cell r="H766">
            <v>12.4689797</v>
          </cell>
        </row>
        <row r="767">
          <cell r="A767" t="str">
            <v>500000043856</v>
          </cell>
          <cell r="G767">
            <v>41.862655799999999</v>
          </cell>
          <cell r="H767">
            <v>12.467973499999999</v>
          </cell>
        </row>
        <row r="768">
          <cell r="A768" t="str">
            <v>500000094205</v>
          </cell>
          <cell r="G768">
            <v>41.866013600000002</v>
          </cell>
          <cell r="H768">
            <v>12.4715598</v>
          </cell>
        </row>
        <row r="769">
          <cell r="A769" t="str">
            <v>500000094210</v>
          </cell>
          <cell r="G769">
            <v>41.866013600000002</v>
          </cell>
          <cell r="H769">
            <v>12.4715598</v>
          </cell>
        </row>
        <row r="770">
          <cell r="A770" t="str">
            <v>500000069610</v>
          </cell>
          <cell r="G770">
            <v>41.861012600000002</v>
          </cell>
          <cell r="H770">
            <v>12.465145700000001</v>
          </cell>
        </row>
        <row r="771">
          <cell r="A771" t="str">
            <v>500000047230</v>
          </cell>
          <cell r="G771">
            <v>41.864691899999997</v>
          </cell>
          <cell r="H771">
            <v>12.472185700000001</v>
          </cell>
        </row>
        <row r="772">
          <cell r="A772" t="str">
            <v>500000020401</v>
          </cell>
          <cell r="G772">
            <v>41.863137000000002</v>
          </cell>
          <cell r="H772">
            <v>12.4720189</v>
          </cell>
        </row>
        <row r="773">
          <cell r="A773" t="str">
            <v>500000043855</v>
          </cell>
          <cell r="G773">
            <v>41.862655799999999</v>
          </cell>
          <cell r="H773">
            <v>12.467973499999999</v>
          </cell>
        </row>
        <row r="774">
          <cell r="A774" t="str">
            <v>500000011664</v>
          </cell>
          <cell r="G774">
            <v>41.861918500000002</v>
          </cell>
          <cell r="H774">
            <v>12.465842200000001</v>
          </cell>
        </row>
        <row r="775">
          <cell r="A775" t="str">
            <v>500000064898</v>
          </cell>
          <cell r="G775">
            <v>41.8640002</v>
          </cell>
          <cell r="H775">
            <v>12.4665342</v>
          </cell>
        </row>
        <row r="776">
          <cell r="A776" t="str">
            <v>500000047227</v>
          </cell>
          <cell r="G776">
            <v>41.864691899999997</v>
          </cell>
          <cell r="H776">
            <v>12.472185700000001</v>
          </cell>
        </row>
        <row r="777">
          <cell r="A777" t="str">
            <v>500000087653</v>
          </cell>
          <cell r="G777">
            <v>41.8635965</v>
          </cell>
          <cell r="H777">
            <v>12.464426700000001</v>
          </cell>
        </row>
        <row r="778">
          <cell r="A778" t="str">
            <v>500000012839</v>
          </cell>
          <cell r="G778">
            <v>41.8716948</v>
          </cell>
          <cell r="H778">
            <v>12.468575400000001</v>
          </cell>
        </row>
        <row r="779">
          <cell r="A779" t="str">
            <v>500000068601</v>
          </cell>
          <cell r="G779">
            <v>41.865684899999998</v>
          </cell>
          <cell r="H779">
            <v>12.4686422</v>
          </cell>
        </row>
        <row r="780">
          <cell r="A780" t="str">
            <v>500000068607</v>
          </cell>
          <cell r="G780">
            <v>41.863203300000002</v>
          </cell>
          <cell r="H780">
            <v>12.4698191</v>
          </cell>
        </row>
        <row r="781">
          <cell r="A781" t="str">
            <v>500000012839</v>
          </cell>
          <cell r="G781">
            <v>41.8716948</v>
          </cell>
          <cell r="H781">
            <v>12.468575400000001</v>
          </cell>
        </row>
        <row r="782">
          <cell r="A782" t="str">
            <v>500000068588</v>
          </cell>
          <cell r="G782">
            <v>41.867830400000003</v>
          </cell>
          <cell r="H782">
            <v>12.468034299999999</v>
          </cell>
        </row>
        <row r="783">
          <cell r="A783" t="str">
            <v>500000068594</v>
          </cell>
          <cell r="G783">
            <v>41.866393500000001</v>
          </cell>
          <cell r="H783">
            <v>12.468430700000001</v>
          </cell>
        </row>
        <row r="784">
          <cell r="A784" t="str">
            <v>500000087635</v>
          </cell>
          <cell r="G784">
            <v>41.8635965</v>
          </cell>
          <cell r="H784">
            <v>12.464426700000001</v>
          </cell>
        </row>
        <row r="785">
          <cell r="A785" t="str">
            <v>500000055984</v>
          </cell>
          <cell r="G785">
            <v>41.864790599999999</v>
          </cell>
          <cell r="H785">
            <v>12.4679225</v>
          </cell>
        </row>
        <row r="786">
          <cell r="A786" t="str">
            <v>500000044259</v>
          </cell>
          <cell r="G786">
            <v>41.858250499999997</v>
          </cell>
          <cell r="H786">
            <v>12.417792800000001</v>
          </cell>
        </row>
        <row r="787">
          <cell r="A787" t="str">
            <v>500000025636</v>
          </cell>
          <cell r="G787">
            <v>41.853047799999999</v>
          </cell>
          <cell r="H787">
            <v>12.4285136</v>
          </cell>
        </row>
        <row r="788">
          <cell r="A788" t="str">
            <v>500000032933</v>
          </cell>
          <cell r="G788">
            <v>41.859758599999999</v>
          </cell>
          <cell r="H788">
            <v>12.419367100000001</v>
          </cell>
        </row>
        <row r="789">
          <cell r="A789" t="str">
            <v>500000032896</v>
          </cell>
          <cell r="G789">
            <v>41.859758599999999</v>
          </cell>
          <cell r="H789">
            <v>12.419367100000001</v>
          </cell>
        </row>
        <row r="790">
          <cell r="A790" t="str">
            <v>500000032896</v>
          </cell>
          <cell r="G790">
            <v>41.859758599999999</v>
          </cell>
          <cell r="H790">
            <v>12.419367100000001</v>
          </cell>
        </row>
        <row r="791">
          <cell r="A791" t="str">
            <v>500000065040</v>
          </cell>
          <cell r="G791">
            <v>41.860840600000003</v>
          </cell>
          <cell r="H791">
            <v>12.4615081</v>
          </cell>
        </row>
        <row r="792">
          <cell r="A792" t="str">
            <v>500000071797</v>
          </cell>
          <cell r="G792">
            <v>41.863008100000002</v>
          </cell>
          <cell r="H792">
            <v>12.459636400000001</v>
          </cell>
        </row>
        <row r="793">
          <cell r="A793" t="str">
            <v>500000019221</v>
          </cell>
          <cell r="G793">
            <v>41.861824900000002</v>
          </cell>
          <cell r="H793">
            <v>12.453670799999999</v>
          </cell>
        </row>
        <row r="794">
          <cell r="A794" t="str">
            <v>500000068668</v>
          </cell>
          <cell r="G794">
            <v>41.860209099999999</v>
          </cell>
          <cell r="H794">
            <v>12.458497100000001</v>
          </cell>
        </row>
        <row r="795">
          <cell r="A795" t="str">
            <v>500000013501</v>
          </cell>
          <cell r="G795">
            <v>41.860001599999997</v>
          </cell>
          <cell r="H795">
            <v>12.458343599999999</v>
          </cell>
        </row>
        <row r="796">
          <cell r="A796" t="str">
            <v>500000055575</v>
          </cell>
          <cell r="G796">
            <v>41.8605491</v>
          </cell>
          <cell r="H796">
            <v>12.4544304</v>
          </cell>
        </row>
        <row r="797">
          <cell r="A797" t="str">
            <v>500000160239</v>
          </cell>
          <cell r="G797">
            <v>41.849237199999997</v>
          </cell>
          <cell r="H797">
            <v>12.4471019</v>
          </cell>
        </row>
        <row r="798">
          <cell r="A798" t="str">
            <v>500000160239</v>
          </cell>
          <cell r="G798">
            <v>41.849237199999997</v>
          </cell>
          <cell r="H798">
            <v>12.4471019</v>
          </cell>
        </row>
        <row r="799">
          <cell r="A799" t="str">
            <v>500000097780</v>
          </cell>
          <cell r="G799">
            <v>41.870518400000002</v>
          </cell>
          <cell r="H799">
            <v>12.4653882</v>
          </cell>
        </row>
        <row r="800">
          <cell r="A800" t="str">
            <v>500000094977</v>
          </cell>
          <cell r="G800">
            <v>41.8583189</v>
          </cell>
          <cell r="H800">
            <v>12.451320600000001</v>
          </cell>
        </row>
        <row r="801">
          <cell r="A801" t="str">
            <v>500000094514</v>
          </cell>
          <cell r="G801">
            <v>41.853628999999998</v>
          </cell>
          <cell r="H801">
            <v>12.4476464</v>
          </cell>
        </row>
        <row r="802">
          <cell r="A802" t="str">
            <v>500000097790</v>
          </cell>
          <cell r="G802">
            <v>41.870518400000002</v>
          </cell>
          <cell r="H802">
            <v>12.4653882</v>
          </cell>
        </row>
        <row r="803">
          <cell r="A803" t="str">
            <v>500000063883</v>
          </cell>
          <cell r="G803">
            <v>41.871101799999998</v>
          </cell>
          <cell r="H803">
            <v>12.4676934</v>
          </cell>
        </row>
        <row r="804">
          <cell r="A804" t="str">
            <v>500000099775</v>
          </cell>
          <cell r="G804">
            <v>41.855813499999996</v>
          </cell>
          <cell r="H804">
            <v>12.450601900000001</v>
          </cell>
        </row>
        <row r="805">
          <cell r="A805" t="str">
            <v>500000062724</v>
          </cell>
          <cell r="G805">
            <v>41.869229199999999</v>
          </cell>
          <cell r="H805">
            <v>12.462877300000001</v>
          </cell>
        </row>
        <row r="806">
          <cell r="A806" t="str">
            <v>500000062724</v>
          </cell>
          <cell r="G806">
            <v>41.869229199999999</v>
          </cell>
          <cell r="H806">
            <v>12.462877300000001</v>
          </cell>
        </row>
        <row r="807">
          <cell r="A807" t="str">
            <v>500000097830</v>
          </cell>
          <cell r="G807">
            <v>41.870518400000002</v>
          </cell>
          <cell r="H807">
            <v>12.4653882</v>
          </cell>
        </row>
        <row r="808">
          <cell r="A808" t="str">
            <v>500000094511</v>
          </cell>
          <cell r="G808">
            <v>41.853628999999998</v>
          </cell>
          <cell r="H808">
            <v>12.4476464</v>
          </cell>
        </row>
        <row r="809">
          <cell r="A809" t="str">
            <v>500000066425</v>
          </cell>
          <cell r="G809">
            <v>41.855439699999998</v>
          </cell>
          <cell r="H809">
            <v>12.4485481</v>
          </cell>
        </row>
        <row r="810">
          <cell r="A810" t="str">
            <v>500000066425</v>
          </cell>
          <cell r="G810">
            <v>41.855439699999998</v>
          </cell>
          <cell r="H810">
            <v>12.4485481</v>
          </cell>
        </row>
        <row r="811">
          <cell r="A811" t="str">
            <v>500000099769</v>
          </cell>
          <cell r="G811">
            <v>41.855813499999996</v>
          </cell>
          <cell r="H811">
            <v>12.450601900000001</v>
          </cell>
        </row>
        <row r="812">
          <cell r="A812" t="str">
            <v>500000099769</v>
          </cell>
          <cell r="G812">
            <v>41.855813499999996</v>
          </cell>
          <cell r="H812">
            <v>12.450601900000001</v>
          </cell>
        </row>
        <row r="813">
          <cell r="A813" t="str">
            <v>500000204072</v>
          </cell>
          <cell r="G813">
            <v>41.848885099999997</v>
          </cell>
          <cell r="H813">
            <v>12.4638267</v>
          </cell>
        </row>
        <row r="814">
          <cell r="A814" t="str">
            <v>500000075869</v>
          </cell>
          <cell r="G814">
            <v>41.821498800000001</v>
          </cell>
          <cell r="H814">
            <v>12.394792799999999</v>
          </cell>
        </row>
        <row r="815">
          <cell r="A815" t="str">
            <v>500000093225</v>
          </cell>
          <cell r="G815">
            <v>41.849848999999999</v>
          </cell>
          <cell r="H815">
            <v>12.4611266</v>
          </cell>
        </row>
        <row r="816">
          <cell r="A816" t="str">
            <v>500000075909</v>
          </cell>
          <cell r="G816">
            <v>41.821498800000001</v>
          </cell>
          <cell r="H816">
            <v>12.394792799999999</v>
          </cell>
        </row>
        <row r="817">
          <cell r="A817" t="str">
            <v>500000069435</v>
          </cell>
          <cell r="G817">
            <v>41.850358300000003</v>
          </cell>
          <cell r="H817">
            <v>12.4457421</v>
          </cell>
        </row>
        <row r="818">
          <cell r="A818" t="str">
            <v>500000265382</v>
          </cell>
          <cell r="G818">
            <v>41.870518400000002</v>
          </cell>
          <cell r="H818">
            <v>12.4653882</v>
          </cell>
        </row>
        <row r="819">
          <cell r="A819" t="str">
            <v>500000069431</v>
          </cell>
          <cell r="G819">
            <v>41.850358300000003</v>
          </cell>
          <cell r="H819">
            <v>12.4457421</v>
          </cell>
        </row>
        <row r="820">
          <cell r="A820" t="str">
            <v>500000204006</v>
          </cell>
          <cell r="G820">
            <v>41.870518400000002</v>
          </cell>
          <cell r="H820">
            <v>12.4653882</v>
          </cell>
        </row>
        <row r="821">
          <cell r="A821" t="str">
            <v>500000153066</v>
          </cell>
          <cell r="G821">
            <v>41.837925400000003</v>
          </cell>
          <cell r="H821">
            <v>12.4319752</v>
          </cell>
        </row>
        <row r="822">
          <cell r="A822" t="str">
            <v>500000134759</v>
          </cell>
          <cell r="G822">
            <v>41.836736500000001</v>
          </cell>
          <cell r="H822">
            <v>12.4262792</v>
          </cell>
        </row>
        <row r="823">
          <cell r="A823" t="str">
            <v>500000134766</v>
          </cell>
          <cell r="G823">
            <v>41.836736500000001</v>
          </cell>
          <cell r="H823">
            <v>12.4262792</v>
          </cell>
        </row>
        <row r="824">
          <cell r="A824" t="str">
            <v>500000159078</v>
          </cell>
          <cell r="G824">
            <v>41.848308400000001</v>
          </cell>
          <cell r="H824">
            <v>12.4460753</v>
          </cell>
        </row>
        <row r="825">
          <cell r="A825" t="str">
            <v>500000120329</v>
          </cell>
          <cell r="G825">
            <v>41.8431517</v>
          </cell>
          <cell r="H825">
            <v>12.436747499999999</v>
          </cell>
        </row>
        <row r="826">
          <cell r="A826" t="str">
            <v>500000036009</v>
          </cell>
          <cell r="G826">
            <v>41.843478599999997</v>
          </cell>
          <cell r="H826">
            <v>12.4276889</v>
          </cell>
        </row>
        <row r="827">
          <cell r="A827" t="str">
            <v>500000120350</v>
          </cell>
          <cell r="G827">
            <v>41.8431517</v>
          </cell>
          <cell r="H827">
            <v>12.436747499999999</v>
          </cell>
        </row>
        <row r="828">
          <cell r="A828" t="str">
            <v>500000063726</v>
          </cell>
          <cell r="G828">
            <v>41.842198699999997</v>
          </cell>
          <cell r="H828">
            <v>12.441648199999999</v>
          </cell>
        </row>
        <row r="829">
          <cell r="A829" t="str">
            <v>500000063734</v>
          </cell>
          <cell r="G829">
            <v>41.842198699999997</v>
          </cell>
          <cell r="H829">
            <v>12.441648199999999</v>
          </cell>
        </row>
        <row r="830">
          <cell r="A830" t="str">
            <v>500000135216</v>
          </cell>
          <cell r="G830">
            <v>41.836607299999997</v>
          </cell>
          <cell r="H830">
            <v>12.4284626</v>
          </cell>
        </row>
        <row r="831">
          <cell r="A831" t="str">
            <v>500000124510</v>
          </cell>
          <cell r="G831">
            <v>41.836390000000002</v>
          </cell>
          <cell r="H831">
            <v>12.421317</v>
          </cell>
        </row>
        <row r="832">
          <cell r="A832" t="str">
            <v>500000135216</v>
          </cell>
          <cell r="G832">
            <v>41.836607299999997</v>
          </cell>
          <cell r="H832">
            <v>12.4284626</v>
          </cell>
        </row>
        <row r="833">
          <cell r="A833" t="str">
            <v>500000153067</v>
          </cell>
          <cell r="G833">
            <v>41.837925400000003</v>
          </cell>
          <cell r="H833">
            <v>12.4319752</v>
          </cell>
        </row>
        <row r="834">
          <cell r="A834" t="str">
            <v>500000120323</v>
          </cell>
          <cell r="G834">
            <v>41.8431517</v>
          </cell>
          <cell r="H834">
            <v>12.436747499999999</v>
          </cell>
        </row>
        <row r="835">
          <cell r="A835" t="str">
            <v>500000083030</v>
          </cell>
          <cell r="G835">
            <v>41.845074400000001</v>
          </cell>
          <cell r="H835">
            <v>12.4281592</v>
          </cell>
        </row>
        <row r="836">
          <cell r="A836" t="str">
            <v>500000032933</v>
          </cell>
          <cell r="G836">
            <v>41.859758599999999</v>
          </cell>
          <cell r="H836">
            <v>12.419367100000001</v>
          </cell>
        </row>
        <row r="837">
          <cell r="A837" t="str">
            <v>500000097873</v>
          </cell>
          <cell r="G837">
            <v>41.870518400000002</v>
          </cell>
          <cell r="H837">
            <v>12.4653882</v>
          </cell>
        </row>
        <row r="838">
          <cell r="A838" t="str">
            <v>500000010204</v>
          </cell>
          <cell r="G838">
            <v>41.85998</v>
          </cell>
          <cell r="H838">
            <v>12.434444600000001</v>
          </cell>
        </row>
        <row r="839">
          <cell r="A839" t="str">
            <v>500000032890</v>
          </cell>
          <cell r="G839">
            <v>41.859758599999999</v>
          </cell>
          <cell r="H839">
            <v>12.419367100000001</v>
          </cell>
        </row>
        <row r="840">
          <cell r="A840" t="str">
            <v>500000177647</v>
          </cell>
          <cell r="G840">
            <v>41.855792200000003</v>
          </cell>
          <cell r="H840">
            <v>12.4143522</v>
          </cell>
        </row>
        <row r="841">
          <cell r="A841" t="str">
            <v>500000177647</v>
          </cell>
          <cell r="G841">
            <v>41.855792200000003</v>
          </cell>
          <cell r="H841">
            <v>12.4143522</v>
          </cell>
        </row>
        <row r="842">
          <cell r="A842" t="str">
            <v>500000096249</v>
          </cell>
          <cell r="G842">
            <v>41.852738500000001</v>
          </cell>
          <cell r="H842">
            <v>12.4131214</v>
          </cell>
        </row>
        <row r="843">
          <cell r="A843" t="str">
            <v>500000096246</v>
          </cell>
          <cell r="G843">
            <v>41.852738500000001</v>
          </cell>
          <cell r="H843">
            <v>12.4131214</v>
          </cell>
        </row>
        <row r="844">
          <cell r="A844" t="str">
            <v>500000097860</v>
          </cell>
          <cell r="G844">
            <v>41.870518400000002</v>
          </cell>
          <cell r="H844">
            <v>12.4653882</v>
          </cell>
        </row>
        <row r="845">
          <cell r="A845" t="str">
            <v>500000096247</v>
          </cell>
          <cell r="G845">
            <v>41.852738500000001</v>
          </cell>
          <cell r="H845">
            <v>12.4131214</v>
          </cell>
        </row>
        <row r="846">
          <cell r="A846" t="str">
            <v>500000096252</v>
          </cell>
          <cell r="G846">
            <v>41.852738500000001</v>
          </cell>
          <cell r="H846">
            <v>12.4131214</v>
          </cell>
        </row>
        <row r="847">
          <cell r="A847" t="str">
            <v>500000096252</v>
          </cell>
          <cell r="G847">
            <v>41.852738500000001</v>
          </cell>
          <cell r="H847">
            <v>12.4131214</v>
          </cell>
        </row>
        <row r="848">
          <cell r="A848" t="str">
            <v>500000098087</v>
          </cell>
          <cell r="G848">
            <v>41.870518400000002</v>
          </cell>
          <cell r="H848">
            <v>12.4653882</v>
          </cell>
        </row>
        <row r="849">
          <cell r="A849" t="str">
            <v>500000075928</v>
          </cell>
          <cell r="G849">
            <v>41.821498800000001</v>
          </cell>
          <cell r="H849">
            <v>12.394792799999999</v>
          </cell>
        </row>
        <row r="850">
          <cell r="A850" t="str">
            <v>500000122348</v>
          </cell>
          <cell r="G850">
            <v>41.830034400000002</v>
          </cell>
          <cell r="H850">
            <v>12.381682899999999</v>
          </cell>
        </row>
        <row r="851">
          <cell r="A851" t="str">
            <v>500000122348</v>
          </cell>
          <cell r="G851">
            <v>41.830034400000002</v>
          </cell>
          <cell r="H851">
            <v>12.381682899999999</v>
          </cell>
        </row>
        <row r="852">
          <cell r="A852" t="str">
            <v>500000173020</v>
          </cell>
          <cell r="G852">
            <v>41.828956900000001</v>
          </cell>
          <cell r="H852">
            <v>12.3935312</v>
          </cell>
        </row>
        <row r="853">
          <cell r="A853" t="str">
            <v>500000173020</v>
          </cell>
          <cell r="G853">
            <v>41.828956900000001</v>
          </cell>
          <cell r="H853">
            <v>12.3935312</v>
          </cell>
        </row>
        <row r="854">
          <cell r="A854" t="str">
            <v>500000204096</v>
          </cell>
          <cell r="G854">
            <v>41.834428600000003</v>
          </cell>
          <cell r="H854">
            <v>12.433839799999999</v>
          </cell>
        </row>
        <row r="855">
          <cell r="A855" t="str">
            <v>500000096249</v>
          </cell>
          <cell r="G855">
            <v>41.852738500000001</v>
          </cell>
          <cell r="H855">
            <v>12.4131214</v>
          </cell>
        </row>
        <row r="856">
          <cell r="A856" t="str">
            <v>500000094976</v>
          </cell>
          <cell r="G856">
            <v>41.8583189</v>
          </cell>
          <cell r="H856">
            <v>12.451320600000001</v>
          </cell>
        </row>
        <row r="857">
          <cell r="A857" t="str">
            <v>500000205364</v>
          </cell>
          <cell r="G857">
            <v>41.870518400000002</v>
          </cell>
          <cell r="H857">
            <v>12.4653882</v>
          </cell>
        </row>
        <row r="858">
          <cell r="A858" t="str">
            <v>500000173264</v>
          </cell>
          <cell r="G858">
            <v>41.827201100000003</v>
          </cell>
          <cell r="H858">
            <v>12.395972799999999</v>
          </cell>
        </row>
        <row r="859">
          <cell r="A859" t="str">
            <v>500000054488</v>
          </cell>
          <cell r="G859">
            <v>41.838689899999999</v>
          </cell>
          <cell r="H859">
            <v>12.414474800000001</v>
          </cell>
        </row>
        <row r="860">
          <cell r="A860" t="str">
            <v>500000265378</v>
          </cell>
          <cell r="G860">
            <v>41.862639000000001</v>
          </cell>
          <cell r="H860">
            <v>12.4655162</v>
          </cell>
        </row>
        <row r="861">
          <cell r="A861" t="str">
            <v>500000075989</v>
          </cell>
          <cell r="G861">
            <v>41.821498800000001</v>
          </cell>
          <cell r="H861">
            <v>12.394792799999999</v>
          </cell>
        </row>
        <row r="862">
          <cell r="A862" t="str">
            <v>500000067765</v>
          </cell>
          <cell r="G862">
            <v>41.870566699999998</v>
          </cell>
          <cell r="H862">
            <v>12.4634237</v>
          </cell>
        </row>
        <row r="863">
          <cell r="A863" t="str">
            <v>500000205364</v>
          </cell>
          <cell r="G863">
            <v>41.870518400000002</v>
          </cell>
          <cell r="H863">
            <v>12.4653882</v>
          </cell>
        </row>
        <row r="864">
          <cell r="A864" t="str">
            <v>500000205364</v>
          </cell>
          <cell r="G864">
            <v>41.870518400000002</v>
          </cell>
          <cell r="H864">
            <v>12.4653882</v>
          </cell>
        </row>
        <row r="865">
          <cell r="A865" t="str">
            <v>500000205607</v>
          </cell>
          <cell r="G865">
            <v>41.854479699999999</v>
          </cell>
          <cell r="H865">
            <v>12.450822499999999</v>
          </cell>
        </row>
        <row r="866">
          <cell r="A866" t="str">
            <v>500000016574</v>
          </cell>
          <cell r="G866">
            <v>41.871713300000003</v>
          </cell>
          <cell r="H866">
            <v>12.470989599999999</v>
          </cell>
        </row>
        <row r="867">
          <cell r="A867" t="str">
            <v>500000094207</v>
          </cell>
          <cell r="G867">
            <v>41.866013600000002</v>
          </cell>
          <cell r="H867">
            <v>12.4715598</v>
          </cell>
        </row>
        <row r="868">
          <cell r="A868" t="str">
            <v>500000110845</v>
          </cell>
          <cell r="G868">
            <v>41.862604599999997</v>
          </cell>
          <cell r="H868">
            <v>12.471681</v>
          </cell>
        </row>
        <row r="869">
          <cell r="A869" t="str">
            <v>500000055980</v>
          </cell>
          <cell r="G869">
            <v>41.864790599999999</v>
          </cell>
          <cell r="H869">
            <v>12.4679225</v>
          </cell>
        </row>
        <row r="870">
          <cell r="A870" t="str">
            <v>500000094005</v>
          </cell>
          <cell r="G870">
            <v>41.865532999999999</v>
          </cell>
          <cell r="H870">
            <v>12.4750234</v>
          </cell>
        </row>
        <row r="871">
          <cell r="A871" t="str">
            <v>500000015958</v>
          </cell>
          <cell r="G871">
            <v>41.8631125</v>
          </cell>
          <cell r="H871">
            <v>12.4708924</v>
          </cell>
        </row>
        <row r="872">
          <cell r="A872" t="str">
            <v>500000011660</v>
          </cell>
          <cell r="G872">
            <v>41.861918500000002</v>
          </cell>
          <cell r="H872">
            <v>12.465842200000001</v>
          </cell>
        </row>
        <row r="873">
          <cell r="A873" t="str">
            <v>500000064897</v>
          </cell>
          <cell r="G873">
            <v>41.8640002</v>
          </cell>
          <cell r="H873">
            <v>12.4665342</v>
          </cell>
        </row>
        <row r="874">
          <cell r="A874" t="str">
            <v>500000047229</v>
          </cell>
          <cell r="G874">
            <v>41.864691899999997</v>
          </cell>
          <cell r="H874">
            <v>12.472185700000001</v>
          </cell>
        </row>
        <row r="875">
          <cell r="A875" t="str">
            <v>500000059423</v>
          </cell>
          <cell r="G875">
            <v>41.862639000000001</v>
          </cell>
          <cell r="H875">
            <v>12.4655162</v>
          </cell>
        </row>
        <row r="876">
          <cell r="A876" t="str">
            <v>500000068591</v>
          </cell>
          <cell r="G876">
            <v>41.867031400000002</v>
          </cell>
          <cell r="H876">
            <v>12.4682358</v>
          </cell>
        </row>
        <row r="877">
          <cell r="A877" t="str">
            <v>500000068598</v>
          </cell>
          <cell r="G877">
            <v>41.8661624</v>
          </cell>
          <cell r="H877">
            <v>12.468978999999999</v>
          </cell>
        </row>
        <row r="878">
          <cell r="A878" t="str">
            <v>500000068601</v>
          </cell>
          <cell r="G878">
            <v>41.865684899999998</v>
          </cell>
          <cell r="H878">
            <v>12.4686422</v>
          </cell>
        </row>
        <row r="879">
          <cell r="A879" t="str">
            <v>500000068604</v>
          </cell>
          <cell r="G879">
            <v>41.864974500000002</v>
          </cell>
          <cell r="H879">
            <v>12.468824400000001</v>
          </cell>
        </row>
        <row r="880">
          <cell r="A880" t="str">
            <v>500000087634</v>
          </cell>
          <cell r="G880">
            <v>41.8635965</v>
          </cell>
          <cell r="H880">
            <v>12.464426700000001</v>
          </cell>
        </row>
        <row r="881">
          <cell r="A881" t="str">
            <v>500000087643</v>
          </cell>
          <cell r="G881">
            <v>41.8635965</v>
          </cell>
          <cell r="H881">
            <v>12.464426700000001</v>
          </cell>
        </row>
        <row r="882">
          <cell r="A882" t="str">
            <v>500000016458</v>
          </cell>
          <cell r="G882">
            <v>41.862337599999996</v>
          </cell>
          <cell r="H882">
            <v>12.463844</v>
          </cell>
        </row>
        <row r="883">
          <cell r="A883" t="str">
            <v>500000011661</v>
          </cell>
          <cell r="G883">
            <v>41.861918500000002</v>
          </cell>
          <cell r="H883">
            <v>12.465842200000001</v>
          </cell>
        </row>
        <row r="884">
          <cell r="A884" t="str">
            <v>500000203674</v>
          </cell>
          <cell r="G884">
            <v>41.858250499999997</v>
          </cell>
          <cell r="H884">
            <v>12.417792800000001</v>
          </cell>
        </row>
        <row r="885">
          <cell r="A885" t="str">
            <v>500000027330</v>
          </cell>
          <cell r="G885">
            <v>41.8562826</v>
          </cell>
          <cell r="H885">
            <v>12.422466399999999</v>
          </cell>
        </row>
        <row r="886">
          <cell r="A886" t="str">
            <v>500000125885</v>
          </cell>
          <cell r="G886">
            <v>41.857720999999998</v>
          </cell>
          <cell r="H886">
            <v>12.417929900000001</v>
          </cell>
        </row>
        <row r="887">
          <cell r="A887" t="str">
            <v>500000061711</v>
          </cell>
          <cell r="G887">
            <v>41.8599836</v>
          </cell>
          <cell r="H887">
            <v>12.452554900000001</v>
          </cell>
        </row>
        <row r="888">
          <cell r="A888" t="str">
            <v>500000047133</v>
          </cell>
          <cell r="G888">
            <v>41.859523299999999</v>
          </cell>
          <cell r="H888">
            <v>12.4548323</v>
          </cell>
        </row>
        <row r="889">
          <cell r="A889" t="str">
            <v>500000205373</v>
          </cell>
          <cell r="G889">
            <v>41.855439699999998</v>
          </cell>
          <cell r="H889">
            <v>12.4485481</v>
          </cell>
        </row>
        <row r="890">
          <cell r="A890" t="str">
            <v>500000086511</v>
          </cell>
          <cell r="G890">
            <v>41.862243599999999</v>
          </cell>
          <cell r="H890">
            <v>12.460785599999999</v>
          </cell>
        </row>
        <row r="891">
          <cell r="A891" t="str">
            <v>500000124495</v>
          </cell>
          <cell r="G891">
            <v>41.863396600000002</v>
          </cell>
          <cell r="H891">
            <v>12.4591963</v>
          </cell>
        </row>
        <row r="892">
          <cell r="A892" t="str">
            <v>500000061712</v>
          </cell>
          <cell r="G892">
            <v>41.8599836</v>
          </cell>
          <cell r="H892">
            <v>12.452554900000001</v>
          </cell>
        </row>
        <row r="893">
          <cell r="A893" t="str">
            <v>500000205666</v>
          </cell>
          <cell r="G893">
            <v>41.855439699999998</v>
          </cell>
          <cell r="H893">
            <v>12.4485481</v>
          </cell>
        </row>
        <row r="894">
          <cell r="A894" t="str">
            <v>500000093893</v>
          </cell>
          <cell r="G894">
            <v>41.8597283</v>
          </cell>
          <cell r="H894">
            <v>12.457281200000001</v>
          </cell>
        </row>
        <row r="895">
          <cell r="A895" t="str">
            <v>500000019219</v>
          </cell>
          <cell r="G895">
            <v>41.861824900000002</v>
          </cell>
          <cell r="H895">
            <v>12.453670799999999</v>
          </cell>
        </row>
        <row r="896">
          <cell r="A896" t="str">
            <v>500000013502</v>
          </cell>
          <cell r="G896">
            <v>41.860001599999997</v>
          </cell>
          <cell r="H896">
            <v>12.458343599999999</v>
          </cell>
        </row>
        <row r="897">
          <cell r="A897" t="str">
            <v>500000047635</v>
          </cell>
          <cell r="G897">
            <v>41.861187999999999</v>
          </cell>
          <cell r="H897">
            <v>12.4532439</v>
          </cell>
        </row>
        <row r="898">
          <cell r="A898" t="str">
            <v>500000051289</v>
          </cell>
          <cell r="G898">
            <v>41.860436100000001</v>
          </cell>
          <cell r="H898">
            <v>12.4538505</v>
          </cell>
        </row>
        <row r="899">
          <cell r="A899" t="str">
            <v>500000055575</v>
          </cell>
          <cell r="G899">
            <v>41.8605491</v>
          </cell>
          <cell r="H899">
            <v>12.4544304</v>
          </cell>
        </row>
        <row r="900">
          <cell r="A900" t="str">
            <v>500000094975</v>
          </cell>
          <cell r="G900">
            <v>41.8583189</v>
          </cell>
          <cell r="H900">
            <v>12.451320600000001</v>
          </cell>
        </row>
        <row r="901">
          <cell r="A901" t="str">
            <v>500000047355</v>
          </cell>
          <cell r="G901">
            <v>41.849021700000002</v>
          </cell>
          <cell r="H901">
            <v>12.450667899999999</v>
          </cell>
        </row>
        <row r="902">
          <cell r="A902" t="str">
            <v>500000066507</v>
          </cell>
          <cell r="G902">
            <v>41.858622699999998</v>
          </cell>
          <cell r="H902">
            <v>12.452030199999999</v>
          </cell>
        </row>
        <row r="903">
          <cell r="A903" t="str">
            <v>500000094608</v>
          </cell>
          <cell r="G903">
            <v>41.853891400000002</v>
          </cell>
          <cell r="H903">
            <v>12.449409299999999</v>
          </cell>
        </row>
        <row r="904">
          <cell r="A904" t="str">
            <v>500000063881</v>
          </cell>
          <cell r="G904">
            <v>41.871101799999998</v>
          </cell>
          <cell r="H904">
            <v>12.4676934</v>
          </cell>
        </row>
        <row r="905">
          <cell r="A905" t="str">
            <v>500000062724</v>
          </cell>
          <cell r="G905">
            <v>41.869229199999999</v>
          </cell>
          <cell r="H905">
            <v>12.462877300000001</v>
          </cell>
        </row>
        <row r="906">
          <cell r="A906" t="str">
            <v>500000062724</v>
          </cell>
          <cell r="G906">
            <v>41.869229199999999</v>
          </cell>
          <cell r="H906">
            <v>12.462877300000001</v>
          </cell>
        </row>
        <row r="907">
          <cell r="A907" t="str">
            <v>500000094511</v>
          </cell>
          <cell r="G907">
            <v>41.853628999999998</v>
          </cell>
          <cell r="H907">
            <v>12.4476464</v>
          </cell>
        </row>
        <row r="908">
          <cell r="A908" t="str">
            <v>500000026385</v>
          </cell>
          <cell r="G908">
            <v>41.849945400000003</v>
          </cell>
          <cell r="H908">
            <v>12.452703</v>
          </cell>
        </row>
        <row r="909">
          <cell r="A909" t="str">
            <v>500000110795</v>
          </cell>
          <cell r="G909">
            <v>41.848885099999997</v>
          </cell>
          <cell r="H909">
            <v>12.4638267</v>
          </cell>
        </row>
        <row r="910">
          <cell r="A910" t="str">
            <v>500000204072</v>
          </cell>
          <cell r="G910">
            <v>41.848885099999997</v>
          </cell>
          <cell r="H910">
            <v>12.4638267</v>
          </cell>
        </row>
        <row r="911">
          <cell r="A911" t="str">
            <v>500000093220</v>
          </cell>
          <cell r="G911">
            <v>41.849848999999999</v>
          </cell>
          <cell r="H911">
            <v>12.4611266</v>
          </cell>
        </row>
        <row r="912">
          <cell r="A912" t="str">
            <v>500000070895</v>
          </cell>
          <cell r="G912">
            <v>41.849196999999997</v>
          </cell>
          <cell r="H912">
            <v>12.4611974</v>
          </cell>
        </row>
        <row r="913">
          <cell r="A913" t="str">
            <v>500000070895</v>
          </cell>
          <cell r="G913">
            <v>41.849196999999997</v>
          </cell>
          <cell r="H913">
            <v>12.4611974</v>
          </cell>
        </row>
        <row r="914">
          <cell r="A914" t="str">
            <v>500000093225</v>
          </cell>
          <cell r="G914">
            <v>41.849848999999999</v>
          </cell>
          <cell r="H914">
            <v>12.4611266</v>
          </cell>
        </row>
        <row r="915">
          <cell r="A915" t="str">
            <v>500000075908</v>
          </cell>
          <cell r="G915">
            <v>41.821498800000001</v>
          </cell>
          <cell r="H915">
            <v>12.394792799999999</v>
          </cell>
        </row>
        <row r="916">
          <cell r="A916" t="str">
            <v>500000093224</v>
          </cell>
          <cell r="G916">
            <v>41.849848999999999</v>
          </cell>
          <cell r="H916">
            <v>12.4611266</v>
          </cell>
        </row>
        <row r="917">
          <cell r="A917" t="str">
            <v>500000075922</v>
          </cell>
          <cell r="G917">
            <v>41.821498800000001</v>
          </cell>
          <cell r="H917">
            <v>12.394792799999999</v>
          </cell>
        </row>
        <row r="918">
          <cell r="A918" t="str">
            <v>500000075897</v>
          </cell>
          <cell r="G918">
            <v>41.821498800000001</v>
          </cell>
          <cell r="H918">
            <v>12.394792799999999</v>
          </cell>
        </row>
        <row r="919">
          <cell r="A919" t="str">
            <v>500000019737</v>
          </cell>
          <cell r="G919">
            <v>41.853244599999996</v>
          </cell>
          <cell r="H919">
            <v>12.456374800000001</v>
          </cell>
        </row>
        <row r="920">
          <cell r="A920" t="str">
            <v>500000038831</v>
          </cell>
          <cell r="G920">
            <v>41.838455099999997</v>
          </cell>
          <cell r="H920">
            <v>12.420400600000001</v>
          </cell>
        </row>
        <row r="921">
          <cell r="A921" t="str">
            <v>500000063738</v>
          </cell>
          <cell r="G921">
            <v>41.842198699999997</v>
          </cell>
          <cell r="H921">
            <v>12.441648199999999</v>
          </cell>
        </row>
        <row r="922">
          <cell r="A922" t="str">
            <v>500000124526</v>
          </cell>
          <cell r="G922">
            <v>41.836390000000002</v>
          </cell>
          <cell r="H922">
            <v>12.421317</v>
          </cell>
        </row>
        <row r="923">
          <cell r="A923" t="str">
            <v>500000134763</v>
          </cell>
          <cell r="G923">
            <v>41.836736500000001</v>
          </cell>
          <cell r="H923">
            <v>12.4262792</v>
          </cell>
        </row>
        <row r="924">
          <cell r="A924" t="str">
            <v>500000120308</v>
          </cell>
          <cell r="G924">
            <v>41.8431517</v>
          </cell>
          <cell r="H924">
            <v>12.436747499999999</v>
          </cell>
        </row>
        <row r="925">
          <cell r="A925" t="str">
            <v>500000120353</v>
          </cell>
          <cell r="G925">
            <v>41.8431517</v>
          </cell>
          <cell r="H925">
            <v>12.436747499999999</v>
          </cell>
        </row>
        <row r="926">
          <cell r="A926" t="str">
            <v>500000123531</v>
          </cell>
          <cell r="G926">
            <v>41.843424800000001</v>
          </cell>
          <cell r="H926">
            <v>12.4382193</v>
          </cell>
        </row>
        <row r="927">
          <cell r="A927" t="str">
            <v>500000114549</v>
          </cell>
          <cell r="G927">
            <v>41.834428600000003</v>
          </cell>
          <cell r="H927">
            <v>12.433839799999999</v>
          </cell>
        </row>
        <row r="928">
          <cell r="A928" t="str">
            <v>500000120348</v>
          </cell>
          <cell r="G928">
            <v>41.8431517</v>
          </cell>
          <cell r="H928">
            <v>12.436747499999999</v>
          </cell>
        </row>
        <row r="929">
          <cell r="A929" t="str">
            <v>500000123536</v>
          </cell>
          <cell r="G929">
            <v>41.843424800000001</v>
          </cell>
          <cell r="H929">
            <v>12.4382193</v>
          </cell>
        </row>
        <row r="930">
          <cell r="A930" t="str">
            <v>500000120336</v>
          </cell>
          <cell r="G930">
            <v>41.8431517</v>
          </cell>
          <cell r="H930">
            <v>12.436747499999999</v>
          </cell>
        </row>
        <row r="931">
          <cell r="A931" t="str">
            <v>500000120322</v>
          </cell>
          <cell r="G931">
            <v>41.8431517</v>
          </cell>
          <cell r="H931">
            <v>12.436747499999999</v>
          </cell>
        </row>
        <row r="932">
          <cell r="A932" t="str">
            <v>500000120315</v>
          </cell>
          <cell r="G932">
            <v>41.8431517</v>
          </cell>
          <cell r="H932">
            <v>12.436747499999999</v>
          </cell>
        </row>
        <row r="933">
          <cell r="A933" t="str">
            <v>500000123539</v>
          </cell>
          <cell r="G933">
            <v>41.843424800000001</v>
          </cell>
          <cell r="H933">
            <v>12.4382193</v>
          </cell>
        </row>
        <row r="934">
          <cell r="A934" t="str">
            <v>500000083043</v>
          </cell>
          <cell r="G934">
            <v>41.845074400000001</v>
          </cell>
          <cell r="H934">
            <v>12.4281592</v>
          </cell>
        </row>
        <row r="935">
          <cell r="A935" t="str">
            <v>500000083039</v>
          </cell>
          <cell r="G935">
            <v>41.845074400000001</v>
          </cell>
          <cell r="H935">
            <v>12.4281592</v>
          </cell>
        </row>
        <row r="936">
          <cell r="A936" t="str">
            <v>500000032918</v>
          </cell>
          <cell r="G936">
            <v>41.859758599999999</v>
          </cell>
          <cell r="H936">
            <v>12.419367100000001</v>
          </cell>
        </row>
        <row r="937">
          <cell r="A937" t="str">
            <v>500000032918</v>
          </cell>
          <cell r="G937">
            <v>41.859758599999999</v>
          </cell>
          <cell r="H937">
            <v>12.419367100000001</v>
          </cell>
        </row>
        <row r="938">
          <cell r="A938" t="str">
            <v>500000027330</v>
          </cell>
          <cell r="G938">
            <v>41.8562826</v>
          </cell>
          <cell r="H938">
            <v>12.422466399999999</v>
          </cell>
        </row>
        <row r="939">
          <cell r="A939" t="str">
            <v>500000032892</v>
          </cell>
          <cell r="G939">
            <v>41.859758599999999</v>
          </cell>
          <cell r="H939">
            <v>12.419367100000001</v>
          </cell>
        </row>
        <row r="940">
          <cell r="A940" t="str">
            <v>500000032892</v>
          </cell>
          <cell r="G940">
            <v>41.859758599999999</v>
          </cell>
          <cell r="H940">
            <v>12.419367100000001</v>
          </cell>
        </row>
        <row r="941">
          <cell r="A941" t="str">
            <v>500000025638</v>
          </cell>
          <cell r="G941">
            <v>41.853047799999999</v>
          </cell>
          <cell r="H941">
            <v>12.4285136</v>
          </cell>
        </row>
        <row r="942">
          <cell r="A942" t="str">
            <v>500000025638</v>
          </cell>
          <cell r="G942">
            <v>41.853047799999999</v>
          </cell>
          <cell r="H942">
            <v>12.4285136</v>
          </cell>
        </row>
        <row r="943">
          <cell r="A943" t="str">
            <v>500000097881</v>
          </cell>
          <cell r="G943">
            <v>41.870518400000002</v>
          </cell>
          <cell r="H943">
            <v>12.4653882</v>
          </cell>
        </row>
        <row r="944">
          <cell r="A944" t="str">
            <v>500000096248</v>
          </cell>
          <cell r="G944">
            <v>41.852738500000001</v>
          </cell>
          <cell r="H944">
            <v>12.4131214</v>
          </cell>
        </row>
        <row r="945">
          <cell r="A945" t="str">
            <v>500000096247</v>
          </cell>
          <cell r="G945">
            <v>41.852738500000001</v>
          </cell>
          <cell r="H945">
            <v>12.4131214</v>
          </cell>
        </row>
        <row r="946">
          <cell r="A946" t="str">
            <v>500000139968</v>
          </cell>
          <cell r="G946">
            <v>41.851610000000001</v>
          </cell>
          <cell r="H946">
            <v>12.414733699999999</v>
          </cell>
        </row>
        <row r="947">
          <cell r="A947" t="str">
            <v>500000139968</v>
          </cell>
          <cell r="G947">
            <v>41.851610000000001</v>
          </cell>
          <cell r="H947">
            <v>12.414733699999999</v>
          </cell>
        </row>
        <row r="948">
          <cell r="A948" t="str">
            <v>500000139965</v>
          </cell>
          <cell r="G948">
            <v>41.851610000000001</v>
          </cell>
          <cell r="H948">
            <v>12.414733699999999</v>
          </cell>
        </row>
        <row r="949">
          <cell r="A949" t="str">
            <v>500000139965</v>
          </cell>
          <cell r="G949">
            <v>41.851610000000001</v>
          </cell>
          <cell r="H949">
            <v>12.414733699999999</v>
          </cell>
        </row>
        <row r="950">
          <cell r="A950" t="str">
            <v>500000075947</v>
          </cell>
          <cell r="G950">
            <v>41.821498800000001</v>
          </cell>
          <cell r="H950">
            <v>12.394792799999999</v>
          </cell>
        </row>
        <row r="951">
          <cell r="A951" t="str">
            <v>500000261107</v>
          </cell>
          <cell r="G951">
            <v>41.856881700000002</v>
          </cell>
          <cell r="H951">
            <v>12.4290529</v>
          </cell>
        </row>
        <row r="952">
          <cell r="A952" t="str">
            <v>500000094606</v>
          </cell>
          <cell r="G952">
            <v>41.853891400000002</v>
          </cell>
          <cell r="H952">
            <v>12.449409299999999</v>
          </cell>
        </row>
        <row r="953">
          <cell r="A953" t="str">
            <v>500000203867</v>
          </cell>
          <cell r="G953">
            <v>41.857723200000002</v>
          </cell>
          <cell r="H953">
            <v>12.450469</v>
          </cell>
        </row>
        <row r="954">
          <cell r="A954" t="str">
            <v>500000068609</v>
          </cell>
          <cell r="G954">
            <v>41.862703199999999</v>
          </cell>
          <cell r="H954">
            <v>12.4694617</v>
          </cell>
        </row>
        <row r="955">
          <cell r="A955" t="str">
            <v>500000203996</v>
          </cell>
          <cell r="G955">
            <v>41.8559755</v>
          </cell>
          <cell r="H955">
            <v>12.398185700000001</v>
          </cell>
        </row>
        <row r="956">
          <cell r="A956" t="str">
            <v>500000203848</v>
          </cell>
          <cell r="G956">
            <v>41.8669887</v>
          </cell>
          <cell r="H956">
            <v>12.4687558</v>
          </cell>
        </row>
        <row r="957">
          <cell r="A957" t="str">
            <v>500000075929</v>
          </cell>
          <cell r="G957">
            <v>41.839530299998998</v>
          </cell>
          <cell r="H957">
            <v>12.454582800000001</v>
          </cell>
        </row>
        <row r="958">
          <cell r="A958" t="str">
            <v>500000074217</v>
          </cell>
          <cell r="G958">
            <v>41.854871230000001</v>
          </cell>
          <cell r="H958">
            <v>12.451522369998999</v>
          </cell>
        </row>
        <row r="959">
          <cell r="A959" t="str">
            <v>500000108176</v>
          </cell>
          <cell r="G959">
            <v>41.844023589998997</v>
          </cell>
          <cell r="H959">
            <v>12.458429349998999</v>
          </cell>
        </row>
        <row r="960">
          <cell r="A960" t="str">
            <v>500000150364</v>
          </cell>
          <cell r="G960">
            <v>41.846993640000001</v>
          </cell>
          <cell r="H960">
            <v>12.41401291</v>
          </cell>
        </row>
        <row r="961">
          <cell r="A961" t="str">
            <v>500000068673</v>
          </cell>
          <cell r="G961">
            <v>41.861395709999002</v>
          </cell>
          <cell r="H961">
            <v>12.458134250000001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87A-601A-490D-B3AC-AA1DEA851E11}">
  <dimension ref="A1:H583"/>
  <sheetViews>
    <sheetView tabSelected="1" workbookViewId="0">
      <selection activeCell="H3" sqref="H3:H583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3" width="6.140625" bestFit="1" customWidth="1"/>
    <col min="4" max="4" width="41" bestFit="1" customWidth="1"/>
    <col min="5" max="5" width="29.42578125" bestFit="1" customWidth="1"/>
    <col min="6" max="6" width="11" bestFit="1" customWidth="1"/>
    <col min="7" max="8" width="15.7109375" bestFit="1" customWidth="1"/>
  </cols>
  <sheetData>
    <row r="1" spans="1:8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2</v>
      </c>
      <c r="H1" t="s">
        <v>3</v>
      </c>
    </row>
    <row r="2" spans="1:8" x14ac:dyDescent="0.25">
      <c r="A2" s="1" t="str" cm="1">
        <f t="array" ref="A2:A583">_xlfn._xlws.FILTER([1]!TabellaContenitori[PdR],([1]!TabellaContenitori[Tipo Rifiuto]="MULTI") * ([1]!TabellaContenitori[Circoscrizione]="15"),"Errore")</f>
        <v>500000205365</v>
      </c>
      <c r="B2" s="1" t="str">
        <f>_xlfn.XLOOKUP(A2,[1]!TabellaContenitori[PdR],[1]!TabellaContenitori[AET])</f>
        <v>CASETTA MATTEI</v>
      </c>
      <c r="C2" s="1" t="str">
        <f>_xlfn.XLOOKUP(A2,[1]!TabellaContenitori[PdR],[1]!TabellaContenitori[Numero civico])</f>
        <v>11</v>
      </c>
      <c r="D2" s="1" t="str">
        <f>CONCATENATE(B2,", ",C2,", Roma")</f>
        <v>CASETTA MATTEI, 11, Roma</v>
      </c>
      <c r="E2" s="1" t="str">
        <f>_xlfn.TEXTBEFORE(D2,",")</f>
        <v>CASETTA MATTEI</v>
      </c>
      <c r="F2" s="1" t="str">
        <f>_xlfn.XLOOKUP(B2,[1]!Tabella_N_Assi[Indirizzo],[1]!Tabella_N_Assi[Tipo Mezzo Preferenziale],"non trovato")</f>
        <v>non trovato</v>
      </c>
      <c r="G2">
        <f>_xlfn.XLOOKUP(A2,[2]Sheet1!$A:$A,[2]Sheet1!$G:$G,"non trovato")</f>
        <v>41.858344299999999</v>
      </c>
      <c r="H2">
        <f>_xlfn.XLOOKUP(A2,[2]Sheet1!$A:$A,[2]Sheet1!$H:$H,"non trovato")</f>
        <v>12.419254</v>
      </c>
    </row>
    <row r="3" spans="1:8" x14ac:dyDescent="0.25">
      <c r="A3" s="1" t="str">
        <v>500000068595</v>
      </c>
      <c r="B3" s="1" t="str">
        <f>_xlfn.XLOOKUP(A3,[1]!TabellaContenitori[PdR],[1]!TabellaContenitori[AET])</f>
        <v>MARCONI</v>
      </c>
      <c r="C3" s="1" t="str">
        <f>_xlfn.XLOOKUP(A3,[1]!TabellaContenitori[PdR],[1]!TabellaContenitori[Numero civico])</f>
        <v>145</v>
      </c>
      <c r="D3" s="1" t="str">
        <f t="shared" ref="D3:D66" si="0">CONCATENATE(B3,", ",C3,", Roma")</f>
        <v>MARCONI, 145, Roma</v>
      </c>
      <c r="E3" s="1" t="str">
        <f t="shared" ref="E3:E66" si="1">_xlfn.TEXTBEFORE(D3,",")</f>
        <v>MARCONI</v>
      </c>
      <c r="F3" s="1" t="str">
        <f>_xlfn.XLOOKUP(B3,[1]!Tabella_N_Assi[Indirizzo],[1]!Tabella_N_Assi[Tipo Mezzo Preferenziale],"non trovato")</f>
        <v>non trovato</v>
      </c>
      <c r="G3">
        <f>_xlfn.XLOOKUP(A3,[2]Sheet1!$A:$A,[2]Sheet1!$G:$G,"non trovato")</f>
        <v>41.866538300000002</v>
      </c>
      <c r="H3">
        <f>_xlfn.XLOOKUP(A3,[2]Sheet1!$A:$A,[2]Sheet1!$H:$H,"non trovato")</f>
        <v>12.468882199999999</v>
      </c>
    </row>
    <row r="4" spans="1:8" x14ac:dyDescent="0.25">
      <c r="A4" s="1" t="str">
        <v>500000016574</v>
      </c>
      <c r="B4" s="1" t="str">
        <f>_xlfn.XLOOKUP(A4,[1]!TabellaContenitori[PdR],[1]!TabellaContenitori[AET])</f>
        <v>FERMI</v>
      </c>
      <c r="C4" s="1" t="str">
        <f>_xlfn.XLOOKUP(A4,[1]!TabellaContenitori[PdR],[1]!TabellaContenitori[Numero civico])</f>
        <v>24</v>
      </c>
      <c r="D4" s="1" t="str">
        <f t="shared" si="0"/>
        <v>FERMI, 24, Roma</v>
      </c>
      <c r="E4" s="1" t="str">
        <f t="shared" si="1"/>
        <v>FERMI</v>
      </c>
      <c r="F4" s="1" t="str">
        <f>_xlfn.XLOOKUP(B4,[1]!Tabella_N_Assi[Indirizzo],[1]!Tabella_N_Assi[Tipo Mezzo Preferenziale],"non trovato")</f>
        <v>non trovato</v>
      </c>
      <c r="G4">
        <f>_xlfn.XLOOKUP(A4,[2]Sheet1!$A:$A,[2]Sheet1!$G:$G,"non trovato")</f>
        <v>41.871713300000003</v>
      </c>
      <c r="H4">
        <f>_xlfn.XLOOKUP(A4,[2]Sheet1!$A:$A,[2]Sheet1!$H:$H,"non trovato")</f>
        <v>12.470989599999999</v>
      </c>
    </row>
    <row r="5" spans="1:8" x14ac:dyDescent="0.25">
      <c r="A5" s="1" t="str">
        <v>500000068603</v>
      </c>
      <c r="B5" s="1" t="str">
        <f>_xlfn.XLOOKUP(A5,[1]!TabellaContenitori[PdR],[1]!TabellaContenitori[AET])</f>
        <v>MARCONI</v>
      </c>
      <c r="C5" s="1" t="str">
        <f>_xlfn.XLOOKUP(A5,[1]!TabellaContenitori[PdR],[1]!TabellaContenitori[Numero civico])</f>
        <v>202</v>
      </c>
      <c r="D5" s="1" t="str">
        <f t="shared" si="0"/>
        <v>MARCONI, 202, Roma</v>
      </c>
      <c r="E5" s="1" t="str">
        <f t="shared" si="1"/>
        <v>MARCONI</v>
      </c>
      <c r="F5" s="1" t="str">
        <f>_xlfn.XLOOKUP(B5,[1]!Tabella_N_Assi[Indirizzo],[1]!Tabella_N_Assi[Tipo Mezzo Preferenziale],"non trovato")</f>
        <v>non trovato</v>
      </c>
      <c r="G5">
        <f>_xlfn.XLOOKUP(A5,[2]Sheet1!$A:$A,[2]Sheet1!$G:$G,"non trovato")</f>
        <v>41.865211799999997</v>
      </c>
      <c r="H5">
        <f>_xlfn.XLOOKUP(A5,[2]Sheet1!$A:$A,[2]Sheet1!$H:$H,"non trovato")</f>
        <v>12.4687611</v>
      </c>
    </row>
    <row r="6" spans="1:8" x14ac:dyDescent="0.25">
      <c r="A6" s="1" t="str">
        <v>500000016715</v>
      </c>
      <c r="B6" s="1" t="str">
        <f>_xlfn.XLOOKUP(A6,[1]!TabellaContenitori[PdR],[1]!TabellaContenitori[AET])</f>
        <v>MARCONI</v>
      </c>
      <c r="C6" s="1" t="str">
        <f>_xlfn.XLOOKUP(A6,[1]!TabellaContenitori[PdR],[1]!TabellaContenitori[Numero civico])</f>
        <v>45</v>
      </c>
      <c r="D6" s="1" t="str">
        <f t="shared" si="0"/>
        <v>MARCONI, 45, Roma</v>
      </c>
      <c r="E6" s="1" t="str">
        <f t="shared" si="1"/>
        <v>MARCONI</v>
      </c>
      <c r="F6" s="1" t="str">
        <f>_xlfn.XLOOKUP(B6,[1]!Tabella_N_Assi[Indirizzo],[1]!Tabella_N_Assi[Tipo Mezzo Preferenziale],"non trovato")</f>
        <v>non trovato</v>
      </c>
      <c r="G6">
        <f>_xlfn.XLOOKUP(A6,[2]Sheet1!$A:$A,[2]Sheet1!$G:$G,"non trovato")</f>
        <v>41.8621853</v>
      </c>
      <c r="H6">
        <f>_xlfn.XLOOKUP(A6,[2]Sheet1!$A:$A,[2]Sheet1!$H:$H,"non trovato")</f>
        <v>12.4689797</v>
      </c>
    </row>
    <row r="7" spans="1:8" x14ac:dyDescent="0.25">
      <c r="A7" s="1" t="str">
        <v>500000094207</v>
      </c>
      <c r="B7" s="1" t="str">
        <f>_xlfn.XLOOKUP(A7,[1]!TabellaContenitori[PdR],[1]!TabellaContenitori[AET])</f>
        <v>FERMI</v>
      </c>
      <c r="C7" s="1" t="str">
        <f>_xlfn.XLOOKUP(A7,[1]!TabellaContenitori[PdR],[1]!TabellaContenitori[Numero civico])</f>
        <v>44</v>
      </c>
      <c r="D7" s="1" t="str">
        <f t="shared" si="0"/>
        <v>FERMI, 44, Roma</v>
      </c>
      <c r="E7" s="1" t="str">
        <f t="shared" si="1"/>
        <v>FERMI</v>
      </c>
      <c r="F7" s="1" t="str">
        <f>_xlfn.XLOOKUP(B7,[1]!Tabella_N_Assi[Indirizzo],[1]!Tabella_N_Assi[Tipo Mezzo Preferenziale],"non trovato")</f>
        <v>non trovato</v>
      </c>
      <c r="G7">
        <f>_xlfn.XLOOKUP(A7,[2]Sheet1!$A:$A,[2]Sheet1!$G:$G,"non trovato")</f>
        <v>41.866013600000002</v>
      </c>
      <c r="H7">
        <f>_xlfn.XLOOKUP(A7,[2]Sheet1!$A:$A,[2]Sheet1!$H:$H,"non trovato")</f>
        <v>12.4715598</v>
      </c>
    </row>
    <row r="8" spans="1:8" x14ac:dyDescent="0.25">
      <c r="A8" s="1" t="str">
        <v>500000020403</v>
      </c>
      <c r="B8" s="1" t="str">
        <f>_xlfn.XLOOKUP(A8,[1]!TabellaContenitori[PdR],[1]!TabellaContenitori[AET])</f>
        <v>FERMI</v>
      </c>
      <c r="C8" s="1" t="str">
        <f>_xlfn.XLOOKUP(A8,[1]!TabellaContenitori[PdR],[1]!TabellaContenitori[Numero civico])</f>
        <v>82</v>
      </c>
      <c r="D8" s="1" t="str">
        <f t="shared" si="0"/>
        <v>FERMI, 82, Roma</v>
      </c>
      <c r="E8" s="1" t="str">
        <f t="shared" si="1"/>
        <v>FERMI</v>
      </c>
      <c r="F8" s="1" t="str">
        <f>_xlfn.XLOOKUP(B8,[1]!Tabella_N_Assi[Indirizzo],[1]!Tabella_N_Assi[Tipo Mezzo Preferenziale],"non trovato")</f>
        <v>non trovato</v>
      </c>
      <c r="G8">
        <f>_xlfn.XLOOKUP(A8,[2]Sheet1!$A:$A,[2]Sheet1!$G:$G,"non trovato")</f>
        <v>41.863137000000002</v>
      </c>
      <c r="H8">
        <f>_xlfn.XLOOKUP(A8,[2]Sheet1!$A:$A,[2]Sheet1!$H:$H,"non trovato")</f>
        <v>12.4720189</v>
      </c>
    </row>
    <row r="9" spans="1:8" x14ac:dyDescent="0.25">
      <c r="A9" s="1" t="str">
        <v>500000047231</v>
      </c>
      <c r="B9" s="1" t="str">
        <f>_xlfn.XLOOKUP(A9,[1]!TabellaContenitori[PdR],[1]!TabellaContenitori[AET])</f>
        <v>FERMI</v>
      </c>
      <c r="C9" s="1" t="str">
        <f>_xlfn.XLOOKUP(A9,[1]!TabellaContenitori[PdR],[1]!TabellaContenitori[Numero civico])</f>
        <v>158</v>
      </c>
      <c r="D9" s="1" t="str">
        <f t="shared" si="0"/>
        <v>FERMI, 158, Roma</v>
      </c>
      <c r="E9" s="1" t="str">
        <f t="shared" si="1"/>
        <v>FERMI</v>
      </c>
      <c r="F9" s="1" t="str">
        <f>_xlfn.XLOOKUP(B9,[1]!Tabella_N_Assi[Indirizzo],[1]!Tabella_N_Assi[Tipo Mezzo Preferenziale],"non trovato")</f>
        <v>non trovato</v>
      </c>
      <c r="G9">
        <f>_xlfn.XLOOKUP(A9,[2]Sheet1!$A:$A,[2]Sheet1!$G:$G,"non trovato")</f>
        <v>41.864571099999999</v>
      </c>
      <c r="H9">
        <f>_xlfn.XLOOKUP(A9,[2]Sheet1!$A:$A,[2]Sheet1!$H:$H,"non trovato")</f>
        <v>12.472239800000001</v>
      </c>
    </row>
    <row r="10" spans="1:8" x14ac:dyDescent="0.25">
      <c r="A10" s="1" t="str">
        <v>500000110841</v>
      </c>
      <c r="B10" s="1" t="str">
        <f>_xlfn.XLOOKUP(A10,[1]!TabellaContenitori[PdR],[1]!TabellaContenitori[AET])</f>
        <v>FERMI</v>
      </c>
      <c r="C10" s="1" t="str">
        <f>_xlfn.XLOOKUP(A10,[1]!TabellaContenitori[PdR],[1]!TabellaContenitori[Numero civico])</f>
        <v>6</v>
      </c>
      <c r="D10" s="1" t="str">
        <f t="shared" si="0"/>
        <v>FERMI, 6, Roma</v>
      </c>
      <c r="E10" s="1" t="str">
        <f t="shared" si="1"/>
        <v>FERMI</v>
      </c>
      <c r="F10" s="1" t="str">
        <f>_xlfn.XLOOKUP(B10,[1]!Tabella_N_Assi[Indirizzo],[1]!Tabella_N_Assi[Tipo Mezzo Preferenziale],"non trovato")</f>
        <v>non trovato</v>
      </c>
      <c r="G10">
        <f>_xlfn.XLOOKUP(A10,[2]Sheet1!$A:$A,[2]Sheet1!$G:$G,"non trovato")</f>
        <v>41.862604599999997</v>
      </c>
      <c r="H10">
        <f>_xlfn.XLOOKUP(A10,[2]Sheet1!$A:$A,[2]Sheet1!$H:$H,"non trovato")</f>
        <v>12.471681</v>
      </c>
    </row>
    <row r="11" spans="1:8" x14ac:dyDescent="0.25">
      <c r="A11" s="1" t="str">
        <v>500000047221</v>
      </c>
      <c r="B11" s="1" t="str">
        <f>_xlfn.XLOOKUP(A11,[1]!TabellaContenitori[PdR],[1]!TabellaContenitori[AET])</f>
        <v>FERMI</v>
      </c>
      <c r="C11" s="1" t="str">
        <f>_xlfn.XLOOKUP(A11,[1]!TabellaContenitori[PdR],[1]!TabellaContenitori[Numero civico])</f>
        <v>16</v>
      </c>
      <c r="D11" s="1" t="str">
        <f t="shared" si="0"/>
        <v>FERMI, 16, Roma</v>
      </c>
      <c r="E11" s="1" t="str">
        <f t="shared" si="1"/>
        <v>FERMI</v>
      </c>
      <c r="F11" s="1" t="str">
        <f>_xlfn.XLOOKUP(B11,[1]!Tabella_N_Assi[Indirizzo],[1]!Tabella_N_Assi[Tipo Mezzo Preferenziale],"non trovato")</f>
        <v>non trovato</v>
      </c>
      <c r="G11">
        <f>_xlfn.XLOOKUP(A11,[2]Sheet1!$A:$A,[2]Sheet1!$G:$G,"non trovato")</f>
        <v>41.864571099999999</v>
      </c>
      <c r="H11">
        <f>_xlfn.XLOOKUP(A11,[2]Sheet1!$A:$A,[2]Sheet1!$H:$H,"non trovato")</f>
        <v>12.472239800000001</v>
      </c>
    </row>
    <row r="12" spans="1:8" x14ac:dyDescent="0.25">
      <c r="A12" s="1" t="str">
        <v>500000059430</v>
      </c>
      <c r="B12" s="1" t="str">
        <f>_xlfn.XLOOKUP(A12,[1]!TabellaContenitori[PdR],[1]!TabellaContenitori[AET])</f>
        <v>MARCONI</v>
      </c>
      <c r="C12" s="1" t="str">
        <f>_xlfn.XLOOKUP(A12,[1]!TabellaContenitori[PdR],[1]!TabellaContenitori[Numero civico])</f>
        <v>145</v>
      </c>
      <c r="D12" s="1" t="str">
        <f t="shared" si="0"/>
        <v>MARCONI, 145, Roma</v>
      </c>
      <c r="E12" s="1" t="str">
        <f t="shared" si="1"/>
        <v>MARCONI</v>
      </c>
      <c r="F12" s="1" t="str">
        <f>_xlfn.XLOOKUP(B12,[1]!Tabella_N_Assi[Indirizzo],[1]!Tabella_N_Assi[Tipo Mezzo Preferenziale],"non trovato")</f>
        <v>non trovato</v>
      </c>
      <c r="G12">
        <f>_xlfn.XLOOKUP(A12,[2]Sheet1!$A:$A,[2]Sheet1!$G:$G,"non trovato")</f>
        <v>41.862639000000001</v>
      </c>
      <c r="H12">
        <f>_xlfn.XLOOKUP(A12,[2]Sheet1!$A:$A,[2]Sheet1!$H:$H,"non trovato")</f>
        <v>12.4655162</v>
      </c>
    </row>
    <row r="13" spans="1:8" x14ac:dyDescent="0.25">
      <c r="A13" s="1" t="str">
        <v>500000087654</v>
      </c>
      <c r="B13" s="1" t="str">
        <f>_xlfn.XLOOKUP(A13,[1]!TabellaContenitori[PdR],[1]!TabellaContenitori[AET])</f>
        <v>ODERISI DA GUBBIO</v>
      </c>
      <c r="C13" s="1" t="str">
        <f>_xlfn.XLOOKUP(A13,[1]!TabellaContenitori[PdR],[1]!TabellaContenitori[Numero civico])</f>
        <v>237</v>
      </c>
      <c r="D13" s="1" t="str">
        <f t="shared" si="0"/>
        <v>ODERISI DA GUBBIO, 237, Roma</v>
      </c>
      <c r="E13" s="1" t="str">
        <f t="shared" si="1"/>
        <v>ODERISI DA GUBBIO</v>
      </c>
      <c r="F13" s="1" t="str">
        <f>_xlfn.XLOOKUP(B13,[1]!Tabella_N_Assi[Indirizzo],[1]!Tabella_N_Assi[Tipo Mezzo Preferenziale],"non trovato")</f>
        <v>non trovato</v>
      </c>
      <c r="G13">
        <f>_xlfn.XLOOKUP(A13,[2]Sheet1!$A:$A,[2]Sheet1!$G:$G,"non trovato")</f>
        <v>41.8635965</v>
      </c>
      <c r="H13">
        <f>_xlfn.XLOOKUP(A13,[2]Sheet1!$A:$A,[2]Sheet1!$H:$H,"non trovato")</f>
        <v>12.464426700000001</v>
      </c>
    </row>
    <row r="14" spans="1:8" x14ac:dyDescent="0.25">
      <c r="A14" s="1" t="str">
        <v>500000055978</v>
      </c>
      <c r="B14" s="1" t="str">
        <f>_xlfn.XLOOKUP(A14,[1]!TabellaContenitori[PdR],[1]!TabellaContenitori[AET])</f>
        <v>ODERISI DA GUBBIO</v>
      </c>
      <c r="C14" s="1" t="str">
        <f>_xlfn.XLOOKUP(A14,[1]!TabellaContenitori[PdR],[1]!TabellaContenitori[Numero civico])</f>
        <v>47</v>
      </c>
      <c r="D14" s="1" t="str">
        <f t="shared" si="0"/>
        <v>ODERISI DA GUBBIO, 47, Roma</v>
      </c>
      <c r="E14" s="1" t="str">
        <f t="shared" si="1"/>
        <v>ODERISI DA GUBBIO</v>
      </c>
      <c r="F14" s="1" t="str">
        <f>_xlfn.XLOOKUP(B14,[1]!Tabella_N_Assi[Indirizzo],[1]!Tabella_N_Assi[Tipo Mezzo Preferenziale],"non trovato")</f>
        <v>non trovato</v>
      </c>
      <c r="G14">
        <f>_xlfn.XLOOKUP(A14,[2]Sheet1!$A:$A,[2]Sheet1!$G:$G,"non trovato")</f>
        <v>41.864790599999999</v>
      </c>
      <c r="H14">
        <f>_xlfn.XLOOKUP(A14,[2]Sheet1!$A:$A,[2]Sheet1!$H:$H,"non trovato")</f>
        <v>12.4679225</v>
      </c>
    </row>
    <row r="15" spans="1:8" x14ac:dyDescent="0.25">
      <c r="A15" s="1" t="str">
        <v>500000100774</v>
      </c>
      <c r="B15" s="1" t="str">
        <f>_xlfn.XLOOKUP(A15,[1]!TabellaContenitori[PdR],[1]!TabellaContenitori[AET])</f>
        <v>ODERISI DA GUBBIO</v>
      </c>
      <c r="C15" s="1" t="str">
        <f>_xlfn.XLOOKUP(A15,[1]!TabellaContenitori[PdR],[1]!TabellaContenitori[Numero civico])</f>
        <v>16</v>
      </c>
      <c r="D15" s="1" t="str">
        <f t="shared" si="0"/>
        <v>ODERISI DA GUBBIO, 16, Roma</v>
      </c>
      <c r="E15" s="1" t="str">
        <f t="shared" si="1"/>
        <v>ODERISI DA GUBBIO</v>
      </c>
      <c r="F15" s="1" t="str">
        <f>_xlfn.XLOOKUP(B15,[1]!Tabella_N_Assi[Indirizzo],[1]!Tabella_N_Assi[Tipo Mezzo Preferenziale],"non trovato")</f>
        <v>non trovato</v>
      </c>
      <c r="G15">
        <f>_xlfn.XLOOKUP(A15,[2]Sheet1!$A:$A,[2]Sheet1!$G:$G,"non trovato")</f>
        <v>41.870023699999997</v>
      </c>
      <c r="H15">
        <f>_xlfn.XLOOKUP(A15,[2]Sheet1!$A:$A,[2]Sheet1!$H:$H,"non trovato")</f>
        <v>12.4672248</v>
      </c>
    </row>
    <row r="16" spans="1:8" x14ac:dyDescent="0.25">
      <c r="A16" s="1" t="str">
        <v>500000055973</v>
      </c>
      <c r="B16" s="1" t="str">
        <f>_xlfn.XLOOKUP(A16,[1]!TabellaContenitori[PdR],[1]!TabellaContenitori[AET])</f>
        <v>ODERISI DA GUBBIO</v>
      </c>
      <c r="C16" s="1" t="str">
        <f>_xlfn.XLOOKUP(A16,[1]!TabellaContenitori[PdR],[1]!TabellaContenitori[Numero civico])</f>
        <v>15</v>
      </c>
      <c r="D16" s="1" t="str">
        <f t="shared" si="0"/>
        <v>ODERISI DA GUBBIO, 15, Roma</v>
      </c>
      <c r="E16" s="1" t="str">
        <f t="shared" si="1"/>
        <v>ODERISI DA GUBBIO</v>
      </c>
      <c r="F16" s="1" t="str">
        <f>_xlfn.XLOOKUP(B16,[1]!Tabella_N_Assi[Indirizzo],[1]!Tabella_N_Assi[Tipo Mezzo Preferenziale],"non trovato")</f>
        <v>non trovato</v>
      </c>
      <c r="G16">
        <f>_xlfn.XLOOKUP(A16,[2]Sheet1!$A:$A,[2]Sheet1!$G:$G,"non trovato")</f>
        <v>41.864790599999999</v>
      </c>
      <c r="H16">
        <f>_xlfn.XLOOKUP(A16,[2]Sheet1!$A:$A,[2]Sheet1!$H:$H,"non trovato")</f>
        <v>12.4679225</v>
      </c>
    </row>
    <row r="17" spans="1:8" x14ac:dyDescent="0.25">
      <c r="A17" s="1" t="str">
        <v>500000055975</v>
      </c>
      <c r="B17" s="1" t="str">
        <f>_xlfn.XLOOKUP(A17,[1]!TabellaContenitori[PdR],[1]!TabellaContenitori[AET])</f>
        <v>ODERISI DA GUBBIO</v>
      </c>
      <c r="C17" s="1" t="str">
        <f>_xlfn.XLOOKUP(A17,[1]!TabellaContenitori[PdR],[1]!TabellaContenitori[Numero civico])</f>
        <v>37</v>
      </c>
      <c r="D17" s="1" t="str">
        <f t="shared" si="0"/>
        <v>ODERISI DA GUBBIO, 37, Roma</v>
      </c>
      <c r="E17" s="1" t="str">
        <f t="shared" si="1"/>
        <v>ODERISI DA GUBBIO</v>
      </c>
      <c r="F17" s="1" t="str">
        <f>_xlfn.XLOOKUP(B17,[1]!Tabella_N_Assi[Indirizzo],[1]!Tabella_N_Assi[Tipo Mezzo Preferenziale],"non trovato")</f>
        <v>non trovato</v>
      </c>
      <c r="G17">
        <f>_xlfn.XLOOKUP(A17,[2]Sheet1!$A:$A,[2]Sheet1!$G:$G,"non trovato")</f>
        <v>41.864790599999999</v>
      </c>
      <c r="H17">
        <f>_xlfn.XLOOKUP(A17,[2]Sheet1!$A:$A,[2]Sheet1!$H:$H,"non trovato")</f>
        <v>12.4679225</v>
      </c>
    </row>
    <row r="18" spans="1:8" x14ac:dyDescent="0.25">
      <c r="A18" s="1" t="str">
        <v>500000047133</v>
      </c>
      <c r="B18" s="1" t="str">
        <f>_xlfn.XLOOKUP(A18,[1]!TabellaContenitori[PdR],[1]!TabellaContenitori[AET])</f>
        <v>VIGNA PIA</v>
      </c>
      <c r="C18" s="1" t="str">
        <f>_xlfn.XLOOKUP(A18,[1]!TabellaContenitori[PdR],[1]!TabellaContenitori[Numero civico])</f>
        <v>93</v>
      </c>
      <c r="D18" s="1" t="str">
        <f t="shared" si="0"/>
        <v>VIGNA PIA, 93, Roma</v>
      </c>
      <c r="E18" s="1" t="str">
        <f t="shared" si="1"/>
        <v>VIGNA PIA</v>
      </c>
      <c r="F18" s="1" t="str">
        <f>_xlfn.XLOOKUP(B18,[1]!Tabella_N_Assi[Indirizzo],[1]!Tabella_N_Assi[Tipo Mezzo Preferenziale],"non trovato")</f>
        <v>non trovato</v>
      </c>
      <c r="G18">
        <f>_xlfn.XLOOKUP(A18,[2]Sheet1!$A:$A,[2]Sheet1!$G:$G,"non trovato")</f>
        <v>41.859523299999999</v>
      </c>
      <c r="H18">
        <f>_xlfn.XLOOKUP(A18,[2]Sheet1!$A:$A,[2]Sheet1!$H:$H,"non trovato")</f>
        <v>12.4548323</v>
      </c>
    </row>
    <row r="19" spans="1:8" x14ac:dyDescent="0.25">
      <c r="A19" s="1" t="str">
        <v>500000071797</v>
      </c>
      <c r="B19" s="1" t="str">
        <f>_xlfn.XLOOKUP(A19,[1]!TabellaContenitori[PdR],[1]!TabellaContenitori[AET])</f>
        <v>VIGNA PIA</v>
      </c>
      <c r="C19" s="1" t="str">
        <f>_xlfn.XLOOKUP(A19,[1]!TabellaContenitori[PdR],[1]!TabellaContenitori[Numero civico])</f>
        <v>8</v>
      </c>
      <c r="D19" s="1" t="str">
        <f t="shared" si="0"/>
        <v>VIGNA PIA, 8, Roma</v>
      </c>
      <c r="E19" s="1" t="str">
        <f t="shared" si="1"/>
        <v>VIGNA PIA</v>
      </c>
      <c r="F19" s="1" t="str">
        <f>_xlfn.XLOOKUP(B19,[1]!Tabella_N_Assi[Indirizzo],[1]!Tabella_N_Assi[Tipo Mezzo Preferenziale],"non trovato")</f>
        <v>non trovato</v>
      </c>
      <c r="G19">
        <f>_xlfn.XLOOKUP(A19,[2]Sheet1!$A:$A,[2]Sheet1!$G:$G,"non trovato")</f>
        <v>41.863008100000002</v>
      </c>
      <c r="H19">
        <f>_xlfn.XLOOKUP(A19,[2]Sheet1!$A:$A,[2]Sheet1!$H:$H,"non trovato")</f>
        <v>12.459636400000001</v>
      </c>
    </row>
    <row r="20" spans="1:8" x14ac:dyDescent="0.25">
      <c r="A20" s="1" t="str">
        <v>500000069912</v>
      </c>
      <c r="B20" s="1" t="str">
        <f>_xlfn.XLOOKUP(A20,[1]!TabellaContenitori[PdR],[1]!TabellaContenitori[AET])</f>
        <v>PORTUENSE</v>
      </c>
      <c r="C20" s="1" t="str">
        <f>_xlfn.XLOOKUP(A20,[1]!TabellaContenitori[PdR],[1]!TabellaContenitori[Numero civico])</f>
        <v>75</v>
      </c>
      <c r="D20" s="1" t="str">
        <f t="shared" si="0"/>
        <v>PORTUENSE, 75, Roma</v>
      </c>
      <c r="E20" s="1" t="str">
        <f t="shared" si="1"/>
        <v>PORTUENSE</v>
      </c>
      <c r="F20" s="1" t="str">
        <f>_xlfn.XLOOKUP(B20,[1]!Tabella_N_Assi[Indirizzo],[1]!Tabella_N_Assi[Tipo Mezzo Preferenziale],"non trovato")</f>
        <v>non trovato</v>
      </c>
      <c r="G20">
        <f>_xlfn.XLOOKUP(A20,[2]Sheet1!$A:$A,[2]Sheet1!$G:$G,"non trovato")</f>
        <v>41.857723200000002</v>
      </c>
      <c r="H20">
        <f>_xlfn.XLOOKUP(A20,[2]Sheet1!$A:$A,[2]Sheet1!$H:$H,"non trovato")</f>
        <v>12.450469</v>
      </c>
    </row>
    <row r="21" spans="1:8" x14ac:dyDescent="0.25">
      <c r="A21" s="1" t="str">
        <v>500000051289</v>
      </c>
      <c r="B21" s="1" t="str">
        <f>_xlfn.XLOOKUP(A21,[1]!TabellaContenitori[PdR],[1]!TabellaContenitori[AET])</f>
        <v>VIGNA PIA</v>
      </c>
      <c r="C21" s="1" t="str">
        <f>_xlfn.XLOOKUP(A21,[1]!TabellaContenitori[PdR],[1]!TabellaContenitori[Numero civico])</f>
        <v>2</v>
      </c>
      <c r="D21" s="1" t="str">
        <f t="shared" si="0"/>
        <v>VIGNA PIA, 2, Roma</v>
      </c>
      <c r="E21" s="1" t="str">
        <f t="shared" si="1"/>
        <v>VIGNA PIA</v>
      </c>
      <c r="F21" s="1" t="str">
        <f>_xlfn.XLOOKUP(B21,[1]!Tabella_N_Assi[Indirizzo],[1]!Tabella_N_Assi[Tipo Mezzo Preferenziale],"non trovato")</f>
        <v>non trovato</v>
      </c>
      <c r="G21">
        <f>_xlfn.XLOOKUP(A21,[2]Sheet1!$A:$A,[2]Sheet1!$G:$G,"non trovato")</f>
        <v>41.860436100000001</v>
      </c>
      <c r="H21">
        <f>_xlfn.XLOOKUP(A21,[2]Sheet1!$A:$A,[2]Sheet1!$H:$H,"non trovato")</f>
        <v>12.4538505</v>
      </c>
    </row>
    <row r="22" spans="1:8" x14ac:dyDescent="0.25">
      <c r="A22" s="1" t="str">
        <v>500000055575</v>
      </c>
      <c r="B22" s="1" t="str">
        <f>_xlfn.XLOOKUP(A22,[1]!TabellaContenitori[PdR],[1]!TabellaContenitori[AET])</f>
        <v>VIGNA PIA</v>
      </c>
      <c r="C22" s="1" t="str">
        <f>_xlfn.XLOOKUP(A22,[1]!TabellaContenitori[PdR],[1]!TabellaContenitori[Numero civico])</f>
        <v>25</v>
      </c>
      <c r="D22" s="1" t="str">
        <f t="shared" si="0"/>
        <v>VIGNA PIA, 25, Roma</v>
      </c>
      <c r="E22" s="1" t="str">
        <f t="shared" si="1"/>
        <v>VIGNA PIA</v>
      </c>
      <c r="F22" s="1" t="str">
        <f>_xlfn.XLOOKUP(B22,[1]!Tabella_N_Assi[Indirizzo],[1]!Tabella_N_Assi[Tipo Mezzo Preferenziale],"non trovato")</f>
        <v>non trovato</v>
      </c>
      <c r="G22">
        <f>_xlfn.XLOOKUP(A22,[2]Sheet1!$A:$A,[2]Sheet1!$G:$G,"non trovato")</f>
        <v>41.8605491</v>
      </c>
      <c r="H22">
        <f>_xlfn.XLOOKUP(A22,[2]Sheet1!$A:$A,[2]Sheet1!$H:$H,"non trovato")</f>
        <v>12.4544304</v>
      </c>
    </row>
    <row r="23" spans="1:8" x14ac:dyDescent="0.25">
      <c r="A23" s="1" t="str">
        <v>500000065037</v>
      </c>
      <c r="B23" s="1" t="str">
        <f>_xlfn.XLOOKUP(A23,[1]!TabellaContenitori[PdR],[1]!TabellaContenitori[AET])</f>
        <v>VIGNA PIA</v>
      </c>
      <c r="C23" s="1" t="str">
        <f>_xlfn.XLOOKUP(A23,[1]!TabellaContenitori[PdR],[1]!TabellaContenitori[Numero civico])</f>
        <v>43</v>
      </c>
      <c r="D23" s="1" t="str">
        <f t="shared" si="0"/>
        <v>VIGNA PIA, 43, Roma</v>
      </c>
      <c r="E23" s="1" t="str">
        <f t="shared" si="1"/>
        <v>VIGNA PIA</v>
      </c>
      <c r="F23" s="1" t="str">
        <f>_xlfn.XLOOKUP(B23,[1]!Tabella_N_Assi[Indirizzo],[1]!Tabella_N_Assi[Tipo Mezzo Preferenziale],"non trovato")</f>
        <v>non trovato</v>
      </c>
      <c r="G23">
        <f>_xlfn.XLOOKUP(A23,[2]Sheet1!$A:$A,[2]Sheet1!$G:$G,"non trovato")</f>
        <v>41.860840600000003</v>
      </c>
      <c r="H23">
        <f>_xlfn.XLOOKUP(A23,[2]Sheet1!$A:$A,[2]Sheet1!$H:$H,"non trovato")</f>
        <v>12.4615081</v>
      </c>
    </row>
    <row r="24" spans="1:8" x14ac:dyDescent="0.25">
      <c r="A24" s="1" t="str">
        <v>500000065036</v>
      </c>
      <c r="B24" s="1" t="str">
        <f>_xlfn.XLOOKUP(A24,[1]!TabellaContenitori[PdR],[1]!TabellaContenitori[AET])</f>
        <v>VIGNA PIA</v>
      </c>
      <c r="C24" s="1" t="str">
        <f>_xlfn.XLOOKUP(A24,[1]!TabellaContenitori[PdR],[1]!TabellaContenitori[Numero civico])</f>
        <v>28</v>
      </c>
      <c r="D24" s="1" t="str">
        <f t="shared" si="0"/>
        <v>VIGNA PIA, 28, Roma</v>
      </c>
      <c r="E24" s="1" t="str">
        <f t="shared" si="1"/>
        <v>VIGNA PIA</v>
      </c>
      <c r="F24" s="1" t="str">
        <f>_xlfn.XLOOKUP(B24,[1]!Tabella_N_Assi[Indirizzo],[1]!Tabella_N_Assi[Tipo Mezzo Preferenziale],"non trovato")</f>
        <v>non trovato</v>
      </c>
      <c r="G24">
        <f>_xlfn.XLOOKUP(A24,[2]Sheet1!$A:$A,[2]Sheet1!$G:$G,"non trovato")</f>
        <v>41.860840600000003</v>
      </c>
      <c r="H24">
        <f>_xlfn.XLOOKUP(A24,[2]Sheet1!$A:$A,[2]Sheet1!$H:$H,"non trovato")</f>
        <v>12.4615081</v>
      </c>
    </row>
    <row r="25" spans="1:8" x14ac:dyDescent="0.25">
      <c r="A25" s="1" t="str">
        <v>500000065782</v>
      </c>
      <c r="B25" s="1" t="str">
        <f>_xlfn.XLOOKUP(A25,[1]!TabellaContenitori[PdR],[1]!TabellaContenitori[AET])</f>
        <v>VIGNA PIA</v>
      </c>
      <c r="C25" s="1" t="str">
        <f>_xlfn.XLOOKUP(A25,[1]!TabellaContenitori[PdR],[1]!TabellaContenitori[Numero civico])</f>
        <v>5</v>
      </c>
      <c r="D25" s="1" t="str">
        <f t="shared" si="0"/>
        <v>VIGNA PIA, 5, Roma</v>
      </c>
      <c r="E25" s="1" t="str">
        <f t="shared" si="1"/>
        <v>VIGNA PIA</v>
      </c>
      <c r="F25" s="1" t="str">
        <f>_xlfn.XLOOKUP(B25,[1]!Tabella_N_Assi[Indirizzo],[1]!Tabella_N_Assi[Tipo Mezzo Preferenziale],"non trovato")</f>
        <v>non trovato</v>
      </c>
      <c r="G25">
        <f>_xlfn.XLOOKUP(A25,[2]Sheet1!$A:$A,[2]Sheet1!$G:$G,"non trovato")</f>
        <v>41.860600599999998</v>
      </c>
      <c r="H25">
        <f>_xlfn.XLOOKUP(A25,[2]Sheet1!$A:$A,[2]Sheet1!$H:$H,"non trovato")</f>
        <v>12.452281899999999</v>
      </c>
    </row>
    <row r="26" spans="1:8" x14ac:dyDescent="0.25">
      <c r="A26" s="1" t="str">
        <v>500000205369</v>
      </c>
      <c r="B26" s="1" t="str">
        <f>_xlfn.XLOOKUP(A26,[1]!TabellaContenitori[PdR],[1]!TabellaContenitori[AET])</f>
        <v>MARCONI</v>
      </c>
      <c r="C26" s="1" t="str">
        <f>_xlfn.XLOOKUP(A26,[1]!TabellaContenitori[PdR],[1]!TabellaContenitori[Numero civico])</f>
        <v>130</v>
      </c>
      <c r="D26" s="1" t="str">
        <f t="shared" si="0"/>
        <v>MARCONI, 130, Roma</v>
      </c>
      <c r="E26" s="1" t="str">
        <f t="shared" si="1"/>
        <v>MARCONI</v>
      </c>
      <c r="F26" s="1" t="str">
        <f>_xlfn.XLOOKUP(B26,[1]!Tabella_N_Assi[Indirizzo],[1]!Tabella_N_Assi[Tipo Mezzo Preferenziale],"non trovato")</f>
        <v>non trovato</v>
      </c>
      <c r="G26">
        <f>_xlfn.XLOOKUP(A26,[2]Sheet1!$A:$A,[2]Sheet1!$G:$G,"non trovato")</f>
        <v>41.861012600000002</v>
      </c>
      <c r="H26">
        <f>_xlfn.XLOOKUP(A26,[2]Sheet1!$A:$A,[2]Sheet1!$H:$H,"non trovato")</f>
        <v>12.465145700000001</v>
      </c>
    </row>
    <row r="27" spans="1:8" x14ac:dyDescent="0.25">
      <c r="A27" s="1" t="str">
        <v>500000099769</v>
      </c>
      <c r="B27" s="1" t="str">
        <f>_xlfn.XLOOKUP(A27,[1]!TabellaContenitori[PdR],[1]!TabellaContenitori[AET])</f>
        <v>FRATTINI</v>
      </c>
      <c r="C27" s="1" t="str">
        <f>_xlfn.XLOOKUP(A27,[1]!TabellaContenitori[PdR],[1]!TabellaContenitori[Numero civico])</f>
        <v>11</v>
      </c>
      <c r="D27" s="1" t="str">
        <f t="shared" si="0"/>
        <v>FRATTINI, 11, Roma</v>
      </c>
      <c r="E27" s="1" t="str">
        <f t="shared" si="1"/>
        <v>FRATTINI</v>
      </c>
      <c r="F27" s="1" t="str">
        <f>_xlfn.XLOOKUP(B27,[1]!Tabella_N_Assi[Indirizzo],[1]!Tabella_N_Assi[Tipo Mezzo Preferenziale],"non trovato")</f>
        <v>non trovato</v>
      </c>
      <c r="G27">
        <f>_xlfn.XLOOKUP(A27,[2]Sheet1!$A:$A,[2]Sheet1!$G:$G,"non trovato")</f>
        <v>41.855813499999996</v>
      </c>
      <c r="H27">
        <f>_xlfn.XLOOKUP(A27,[2]Sheet1!$A:$A,[2]Sheet1!$H:$H,"non trovato")</f>
        <v>12.450601900000001</v>
      </c>
    </row>
    <row r="28" spans="1:8" x14ac:dyDescent="0.25">
      <c r="A28" s="1" t="str">
        <v>500000100613</v>
      </c>
      <c r="B28" s="1" t="str">
        <f>_xlfn.XLOOKUP(A28,[1]!TabellaContenitori[PdR],[1]!TabellaContenitori[AET])</f>
        <v>PORTUENSE</v>
      </c>
      <c r="C28" s="1" t="str">
        <f>_xlfn.XLOOKUP(A28,[1]!TabellaContenitori[PdR],[1]!TabellaContenitori[Numero civico])</f>
        <v>112</v>
      </c>
      <c r="D28" s="1" t="str">
        <f t="shared" si="0"/>
        <v>PORTUENSE, 112, Roma</v>
      </c>
      <c r="E28" s="1" t="str">
        <f t="shared" si="1"/>
        <v>PORTUENSE</v>
      </c>
      <c r="F28" s="1" t="str">
        <f>_xlfn.XLOOKUP(B28,[1]!Tabella_N_Assi[Indirizzo],[1]!Tabella_N_Assi[Tipo Mezzo Preferenziale],"non trovato")</f>
        <v>non trovato</v>
      </c>
      <c r="G28">
        <f>_xlfn.XLOOKUP(A28,[2]Sheet1!$A:$A,[2]Sheet1!$G:$G,"non trovato")</f>
        <v>41.867226500000001</v>
      </c>
      <c r="H28">
        <f>_xlfn.XLOOKUP(A28,[2]Sheet1!$A:$A,[2]Sheet1!$H:$H,"non trovato")</f>
        <v>12.4627888</v>
      </c>
    </row>
    <row r="29" spans="1:8" x14ac:dyDescent="0.25">
      <c r="A29" s="1" t="str">
        <v>500000068672</v>
      </c>
      <c r="B29" s="1" t="str">
        <f>_xlfn.XLOOKUP(A29,[1]!TabellaContenitori[PdR],[1]!TabellaContenitori[AET])</f>
        <v>VIGNA PIA</v>
      </c>
      <c r="C29" s="1" t="str">
        <f>_xlfn.XLOOKUP(A29,[1]!TabellaContenitori[PdR],[1]!TabellaContenitori[Numero civico])</f>
        <v>91</v>
      </c>
      <c r="D29" s="1" t="str">
        <f t="shared" si="0"/>
        <v>VIGNA PIA, 91, Roma</v>
      </c>
      <c r="E29" s="1" t="str">
        <f t="shared" si="1"/>
        <v>VIGNA PIA</v>
      </c>
      <c r="F29" s="1" t="str">
        <f>_xlfn.XLOOKUP(B29,[1]!Tabella_N_Assi[Indirizzo],[1]!Tabella_N_Assi[Tipo Mezzo Preferenziale],"non trovato")</f>
        <v>non trovato</v>
      </c>
      <c r="G29">
        <f>_xlfn.XLOOKUP(A29,[2]Sheet1!$A:$A,[2]Sheet1!$G:$G,"non trovato")</f>
        <v>41.860209099999999</v>
      </c>
      <c r="H29">
        <f>_xlfn.XLOOKUP(A29,[2]Sheet1!$A:$A,[2]Sheet1!$H:$H,"non trovato")</f>
        <v>12.458497100000001</v>
      </c>
    </row>
    <row r="30" spans="1:8" x14ac:dyDescent="0.25">
      <c r="A30" s="1" t="str">
        <v>500000068669</v>
      </c>
      <c r="B30" s="1" t="str">
        <f>_xlfn.XLOOKUP(A30,[1]!TabellaContenitori[PdR],[1]!TabellaContenitori[AET])</f>
        <v>VIGNA PIA</v>
      </c>
      <c r="C30" s="1" t="str">
        <f>_xlfn.XLOOKUP(A30,[1]!TabellaContenitori[PdR],[1]!TabellaContenitori[Numero civico])</f>
        <v>57</v>
      </c>
      <c r="D30" s="1" t="str">
        <f t="shared" si="0"/>
        <v>VIGNA PIA, 57, Roma</v>
      </c>
      <c r="E30" s="1" t="str">
        <f t="shared" si="1"/>
        <v>VIGNA PIA</v>
      </c>
      <c r="F30" s="1" t="str">
        <f>_xlfn.XLOOKUP(B30,[1]!Tabella_N_Assi[Indirizzo],[1]!Tabella_N_Assi[Tipo Mezzo Preferenziale],"non trovato")</f>
        <v>non trovato</v>
      </c>
      <c r="G30">
        <f>_xlfn.XLOOKUP(A30,[2]Sheet1!$A:$A,[2]Sheet1!$G:$G,"non trovato")</f>
        <v>41.860209099999999</v>
      </c>
      <c r="H30">
        <f>_xlfn.XLOOKUP(A30,[2]Sheet1!$A:$A,[2]Sheet1!$H:$H,"non trovato")</f>
        <v>12.458497100000001</v>
      </c>
    </row>
    <row r="31" spans="1:8" x14ac:dyDescent="0.25">
      <c r="A31" s="1" t="str">
        <v>500000094975</v>
      </c>
      <c r="B31" s="1" t="str">
        <f>_xlfn.XLOOKUP(A31,[1]!TabellaContenitori[PdR],[1]!TabellaContenitori[AET])</f>
        <v>PORTUENSE</v>
      </c>
      <c r="C31" s="1" t="str">
        <f>_xlfn.XLOOKUP(A31,[1]!TabellaContenitori[PdR],[1]!TabellaContenitori[Numero civico])</f>
        <v>55</v>
      </c>
      <c r="D31" s="1" t="str">
        <f t="shared" si="0"/>
        <v>PORTUENSE, 55, Roma</v>
      </c>
      <c r="E31" s="1" t="str">
        <f t="shared" si="1"/>
        <v>PORTUENSE</v>
      </c>
      <c r="F31" s="1" t="str">
        <f>_xlfn.XLOOKUP(B31,[1]!Tabella_N_Assi[Indirizzo],[1]!Tabella_N_Assi[Tipo Mezzo Preferenziale],"non trovato")</f>
        <v>non trovato</v>
      </c>
      <c r="G31">
        <f>_xlfn.XLOOKUP(A31,[2]Sheet1!$A:$A,[2]Sheet1!$G:$G,"non trovato")</f>
        <v>41.8583189</v>
      </c>
      <c r="H31">
        <f>_xlfn.XLOOKUP(A31,[2]Sheet1!$A:$A,[2]Sheet1!$H:$H,"non trovato")</f>
        <v>12.451320600000001</v>
      </c>
    </row>
    <row r="32" spans="1:8" x14ac:dyDescent="0.25">
      <c r="A32" s="1" t="str">
        <v>500000074217</v>
      </c>
      <c r="B32" s="1" t="str">
        <f>_xlfn.XLOOKUP(A32,[1]!TabellaContenitori[PdR],[1]!TabellaContenitori[AET])</f>
        <v>FRATTINI</v>
      </c>
      <c r="C32" s="1" t="str">
        <f>_xlfn.XLOOKUP(A32,[1]!TabellaContenitori[PdR],[1]!TabellaContenitori[Numero civico])</f>
        <v>99999</v>
      </c>
      <c r="D32" s="1" t="str">
        <f t="shared" si="0"/>
        <v>FRATTINI, 99999, Roma</v>
      </c>
      <c r="E32" s="1" t="str">
        <f t="shared" si="1"/>
        <v>FRATTINI</v>
      </c>
      <c r="F32" s="1" t="str">
        <f>_xlfn.XLOOKUP(B32,[1]!Tabella_N_Assi[Indirizzo],[1]!Tabella_N_Assi[Tipo Mezzo Preferenziale],"non trovato")</f>
        <v>non trovato</v>
      </c>
      <c r="G32">
        <f>_xlfn.XLOOKUP(A32,[2]Sheet1!$A:$A,[2]Sheet1!$G:$G,"non trovato")</f>
        <v>41.854871230000001</v>
      </c>
      <c r="H32">
        <f>_xlfn.XLOOKUP(A32,[2]Sheet1!$A:$A,[2]Sheet1!$H:$H,"non trovato")</f>
        <v>12.451522369998999</v>
      </c>
    </row>
    <row r="33" spans="1:8" x14ac:dyDescent="0.25">
      <c r="A33" s="1" t="str">
        <v>500000047356</v>
      </c>
      <c r="B33" s="1" t="str">
        <f>_xlfn.XLOOKUP(A33,[1]!TabellaContenitori[PdR],[1]!TabellaContenitori[AET])</f>
        <v>FRATTINI</v>
      </c>
      <c r="C33" s="1" t="str">
        <f>_xlfn.XLOOKUP(A33,[1]!TabellaContenitori[PdR],[1]!TabellaContenitori[Numero civico])</f>
        <v>10</v>
      </c>
      <c r="D33" s="1" t="str">
        <f t="shared" si="0"/>
        <v>FRATTINI, 10, Roma</v>
      </c>
      <c r="E33" s="1" t="str">
        <f t="shared" si="1"/>
        <v>FRATTINI</v>
      </c>
      <c r="F33" s="1" t="str">
        <f>_xlfn.XLOOKUP(B33,[1]!Tabella_N_Assi[Indirizzo],[1]!Tabella_N_Assi[Tipo Mezzo Preferenziale],"non trovato")</f>
        <v>non trovato</v>
      </c>
      <c r="G33">
        <f>_xlfn.XLOOKUP(A33,[2]Sheet1!$A:$A,[2]Sheet1!$G:$G,"non trovato")</f>
        <v>41.849021700000002</v>
      </c>
      <c r="H33">
        <f>_xlfn.XLOOKUP(A33,[2]Sheet1!$A:$A,[2]Sheet1!$H:$H,"non trovato")</f>
        <v>12.450667899999999</v>
      </c>
    </row>
    <row r="34" spans="1:8" x14ac:dyDescent="0.25">
      <c r="A34" s="1" t="str">
        <v>500000075889</v>
      </c>
      <c r="B34" s="1" t="str">
        <f>_xlfn.XLOOKUP(A34,[1]!TabellaContenitori[PdR],[1]!TabellaContenitori[AET])</f>
        <v>MAGLIANA</v>
      </c>
      <c r="C34" s="1" t="str">
        <f>_xlfn.XLOOKUP(A34,[1]!TabellaContenitori[PdR],[1]!TabellaContenitori[Numero civico])</f>
        <v>179</v>
      </c>
      <c r="D34" s="1" t="str">
        <f t="shared" si="0"/>
        <v>MAGLIANA, 179, Roma</v>
      </c>
      <c r="E34" s="1" t="str">
        <f t="shared" si="1"/>
        <v>MAGLIANA</v>
      </c>
      <c r="F34" s="1" t="str">
        <f>_xlfn.XLOOKUP(B34,[1]!Tabella_N_Assi[Indirizzo],[1]!Tabella_N_Assi[Tipo Mezzo Preferenziale],"non trovato")</f>
        <v>non trovato</v>
      </c>
      <c r="G34">
        <f>_xlfn.XLOOKUP(A34,[2]Sheet1!$A:$A,[2]Sheet1!$G:$G,"non trovato")</f>
        <v>41.821498800000001</v>
      </c>
      <c r="H34">
        <f>_xlfn.XLOOKUP(A34,[2]Sheet1!$A:$A,[2]Sheet1!$H:$H,"non trovato")</f>
        <v>12.394792799999999</v>
      </c>
    </row>
    <row r="35" spans="1:8" x14ac:dyDescent="0.25">
      <c r="A35" s="1" t="str">
        <v>500000066507</v>
      </c>
      <c r="B35" s="1" t="str">
        <f>_xlfn.XLOOKUP(A35,[1]!TabellaContenitori[PdR],[1]!TabellaContenitori[AET])</f>
        <v>PORTUENSE</v>
      </c>
      <c r="C35" s="1" t="str">
        <f>_xlfn.XLOOKUP(A35,[1]!TabellaContenitori[PdR],[1]!TabellaContenitori[Numero civico])</f>
        <v>29</v>
      </c>
      <c r="D35" s="1" t="str">
        <f t="shared" si="0"/>
        <v>PORTUENSE, 29, Roma</v>
      </c>
      <c r="E35" s="1" t="str">
        <f t="shared" si="1"/>
        <v>PORTUENSE</v>
      </c>
      <c r="F35" s="1" t="str">
        <f>_xlfn.XLOOKUP(B35,[1]!Tabella_N_Assi[Indirizzo],[1]!Tabella_N_Assi[Tipo Mezzo Preferenziale],"non trovato")</f>
        <v>non trovato</v>
      </c>
      <c r="G35">
        <f>_xlfn.XLOOKUP(A35,[2]Sheet1!$A:$A,[2]Sheet1!$G:$G,"non trovato")</f>
        <v>41.858622699999998</v>
      </c>
      <c r="H35">
        <f>_xlfn.XLOOKUP(A35,[2]Sheet1!$A:$A,[2]Sheet1!$H:$H,"non trovato")</f>
        <v>12.452030199999999</v>
      </c>
    </row>
    <row r="36" spans="1:8" x14ac:dyDescent="0.25">
      <c r="A36" s="1" t="str">
        <v>500000075886</v>
      </c>
      <c r="B36" s="1" t="str">
        <f>_xlfn.XLOOKUP(A36,[1]!TabellaContenitori[PdR],[1]!TabellaContenitori[AET])</f>
        <v>MAGLIANA</v>
      </c>
      <c r="C36" s="1" t="str">
        <f>_xlfn.XLOOKUP(A36,[1]!TabellaContenitori[PdR],[1]!TabellaContenitori[Numero civico])</f>
        <v>172</v>
      </c>
      <c r="D36" s="1" t="str">
        <f t="shared" si="0"/>
        <v>MAGLIANA, 172, Roma</v>
      </c>
      <c r="E36" s="1" t="str">
        <f t="shared" si="1"/>
        <v>MAGLIANA</v>
      </c>
      <c r="F36" s="1" t="str">
        <f>_xlfn.XLOOKUP(B36,[1]!Tabella_N_Assi[Indirizzo],[1]!Tabella_N_Assi[Tipo Mezzo Preferenziale],"non trovato")</f>
        <v>non trovato</v>
      </c>
      <c r="G36">
        <f>_xlfn.XLOOKUP(A36,[2]Sheet1!$A:$A,[2]Sheet1!$G:$G,"non trovato")</f>
        <v>41.821498800000001</v>
      </c>
      <c r="H36">
        <f>_xlfn.XLOOKUP(A36,[2]Sheet1!$A:$A,[2]Sheet1!$H:$H,"non trovato")</f>
        <v>12.394792799999999</v>
      </c>
    </row>
    <row r="37" spans="1:8" x14ac:dyDescent="0.25">
      <c r="A37" s="1" t="str">
        <v>500000075868</v>
      </c>
      <c r="B37" s="1" t="str">
        <f>_xlfn.XLOOKUP(A37,[1]!TabellaContenitori[PdR],[1]!TabellaContenitori[AET])</f>
        <v>MAGLIANA</v>
      </c>
      <c r="C37" s="1" t="str">
        <f>_xlfn.XLOOKUP(A37,[1]!TabellaContenitori[PdR],[1]!TabellaContenitori[Numero civico])</f>
        <v>68</v>
      </c>
      <c r="D37" s="1" t="str">
        <f t="shared" si="0"/>
        <v>MAGLIANA, 68, Roma</v>
      </c>
      <c r="E37" s="1" t="str">
        <f t="shared" si="1"/>
        <v>MAGLIANA</v>
      </c>
      <c r="F37" s="1" t="str">
        <f>_xlfn.XLOOKUP(B37,[1]!Tabella_N_Assi[Indirizzo],[1]!Tabella_N_Assi[Tipo Mezzo Preferenziale],"non trovato")</f>
        <v>non trovato</v>
      </c>
      <c r="G37">
        <f>_xlfn.XLOOKUP(A37,[2]Sheet1!$A:$A,[2]Sheet1!$G:$G,"non trovato")</f>
        <v>41.821498800000001</v>
      </c>
      <c r="H37">
        <f>_xlfn.XLOOKUP(A37,[2]Sheet1!$A:$A,[2]Sheet1!$H:$H,"non trovato")</f>
        <v>12.394792799999999</v>
      </c>
    </row>
    <row r="38" spans="1:8" x14ac:dyDescent="0.25">
      <c r="A38" s="1" t="str">
        <v>500000205634</v>
      </c>
      <c r="B38" s="1" t="str">
        <f>_xlfn.XLOOKUP(A38,[1]!TabellaContenitori[PdR],[1]!TabellaContenitori[AET])</f>
        <v>PORTUENSE</v>
      </c>
      <c r="C38" s="1" t="str">
        <f>_xlfn.XLOOKUP(A38,[1]!TabellaContenitori[PdR],[1]!TabellaContenitori[Numero civico])</f>
        <v>2</v>
      </c>
      <c r="D38" s="1" t="str">
        <f t="shared" si="0"/>
        <v>PORTUENSE, 2, Roma</v>
      </c>
      <c r="E38" s="1" t="str">
        <f t="shared" si="1"/>
        <v>PORTUENSE</v>
      </c>
      <c r="F38" s="1" t="str">
        <f>_xlfn.XLOOKUP(B38,[1]!Tabella_N_Assi[Indirizzo],[1]!Tabella_N_Assi[Tipo Mezzo Preferenziale],"non trovato")</f>
        <v>non trovato</v>
      </c>
      <c r="G38">
        <f>_xlfn.XLOOKUP(A38,[2]Sheet1!$A:$A,[2]Sheet1!$G:$G,"non trovato")</f>
        <v>41.8697053</v>
      </c>
      <c r="H38">
        <f>_xlfn.XLOOKUP(A38,[2]Sheet1!$A:$A,[2]Sheet1!$H:$H,"non trovato")</f>
        <v>12.464003699999999</v>
      </c>
    </row>
    <row r="39" spans="1:8" x14ac:dyDescent="0.25">
      <c r="A39" s="1" t="str">
        <v>500000123535</v>
      </c>
      <c r="B39" s="1" t="str">
        <f>_xlfn.XLOOKUP(A39,[1]!TabellaContenitori[PdR],[1]!TabellaContenitori[AET])</f>
        <v>TRULLO - MONTE CUCCO</v>
      </c>
      <c r="C39" s="1" t="str">
        <f>_xlfn.XLOOKUP(A39,[1]!TabellaContenitori[PdR],[1]!TabellaContenitori[Numero civico])</f>
        <v>17</v>
      </c>
      <c r="D39" s="1" t="str">
        <f t="shared" si="0"/>
        <v>TRULLO - MONTE CUCCO, 17, Roma</v>
      </c>
      <c r="E39" s="1" t="str">
        <f t="shared" si="1"/>
        <v>TRULLO - MONTE CUCCO</v>
      </c>
      <c r="F39" s="1" t="str">
        <f>_xlfn.XLOOKUP(B39,[1]!Tabella_N_Assi[Indirizzo],[1]!Tabella_N_Assi[Tipo Mezzo Preferenziale],"non trovato")</f>
        <v>non trovato</v>
      </c>
      <c r="G39">
        <f>_xlfn.XLOOKUP(A39,[2]Sheet1!$A:$A,[2]Sheet1!$G:$G,"non trovato")</f>
        <v>41.843424800000001</v>
      </c>
      <c r="H39">
        <f>_xlfn.XLOOKUP(A39,[2]Sheet1!$A:$A,[2]Sheet1!$H:$H,"non trovato")</f>
        <v>12.4382193</v>
      </c>
    </row>
    <row r="40" spans="1:8" x14ac:dyDescent="0.25">
      <c r="A40" s="1" t="str">
        <v>500000074462</v>
      </c>
      <c r="B40" s="1" t="str">
        <f>_xlfn.XLOOKUP(A40,[1]!TabellaContenitori[PdR],[1]!TabellaContenitori[AET])</f>
        <v>TRULLO - MONTE CUCCO</v>
      </c>
      <c r="C40" s="1" t="str">
        <f>_xlfn.XLOOKUP(A40,[1]!TabellaContenitori[PdR],[1]!TabellaContenitori[Numero civico])</f>
        <v>1</v>
      </c>
      <c r="D40" s="1" t="str">
        <f t="shared" si="0"/>
        <v>TRULLO - MONTE CUCCO, 1, Roma</v>
      </c>
      <c r="E40" s="1" t="str">
        <f t="shared" si="1"/>
        <v>TRULLO - MONTE CUCCO</v>
      </c>
      <c r="F40" s="1" t="str">
        <f>_xlfn.XLOOKUP(B40,[1]!Tabella_N_Assi[Indirizzo],[1]!Tabella_N_Assi[Tipo Mezzo Preferenziale],"non trovato")</f>
        <v>non trovato</v>
      </c>
      <c r="G40">
        <f>_xlfn.XLOOKUP(A40,[2]Sheet1!$A:$A,[2]Sheet1!$G:$G,"non trovato")</f>
        <v>41.853195200000002</v>
      </c>
      <c r="H40">
        <f>_xlfn.XLOOKUP(A40,[2]Sheet1!$A:$A,[2]Sheet1!$H:$H,"non trovato")</f>
        <v>12.445499399999999</v>
      </c>
    </row>
    <row r="41" spans="1:8" x14ac:dyDescent="0.25">
      <c r="A41" s="1" t="str">
        <v>500000123533</v>
      </c>
      <c r="B41" s="1" t="str">
        <f>_xlfn.XLOOKUP(A41,[1]!TabellaContenitori[PdR],[1]!TabellaContenitori[AET])</f>
        <v>TRULLO - MONTE CUCCO</v>
      </c>
      <c r="C41" s="1" t="str">
        <f>_xlfn.XLOOKUP(A41,[1]!TabellaContenitori[PdR],[1]!TabellaContenitori[Numero civico])</f>
        <v>13</v>
      </c>
      <c r="D41" s="1" t="str">
        <f t="shared" si="0"/>
        <v>TRULLO - MONTE CUCCO, 13, Roma</v>
      </c>
      <c r="E41" s="1" t="str">
        <f t="shared" si="1"/>
        <v>TRULLO - MONTE CUCCO</v>
      </c>
      <c r="F41" s="1" t="str">
        <f>_xlfn.XLOOKUP(B41,[1]!Tabella_N_Assi[Indirizzo],[1]!Tabella_N_Assi[Tipo Mezzo Preferenziale],"non trovato")</f>
        <v>non trovato</v>
      </c>
      <c r="G41">
        <f>_xlfn.XLOOKUP(A41,[2]Sheet1!$A:$A,[2]Sheet1!$G:$G,"non trovato")</f>
        <v>41.843424800000001</v>
      </c>
      <c r="H41">
        <f>_xlfn.XLOOKUP(A41,[2]Sheet1!$A:$A,[2]Sheet1!$H:$H,"non trovato")</f>
        <v>12.4382193</v>
      </c>
    </row>
    <row r="42" spans="1:8" x14ac:dyDescent="0.25">
      <c r="A42" s="1" t="str">
        <v>500000147600</v>
      </c>
      <c r="B42" s="1" t="str">
        <f>_xlfn.XLOOKUP(A42,[1]!TabellaContenitori[PdR],[1]!TabellaContenitori[AET])</f>
        <v>TRULLO - MONTE CUCCO</v>
      </c>
      <c r="C42" s="1" t="str">
        <f>_xlfn.XLOOKUP(A42,[1]!TabellaContenitori[PdR],[1]!TabellaContenitori[Numero civico])</f>
        <v>99999</v>
      </c>
      <c r="D42" s="1" t="str">
        <f t="shared" si="0"/>
        <v>TRULLO - MONTE CUCCO, 99999, Roma</v>
      </c>
      <c r="E42" s="1" t="str">
        <f t="shared" si="1"/>
        <v>TRULLO - MONTE CUCCO</v>
      </c>
      <c r="F42" s="1" t="str">
        <f>_xlfn.XLOOKUP(B42,[1]!Tabella_N_Assi[Indirizzo],[1]!Tabella_N_Assi[Tipo Mezzo Preferenziale],"non trovato")</f>
        <v>non trovato</v>
      </c>
      <c r="G42">
        <f>_xlfn.XLOOKUP(A42,[2]Sheet1!$A:$A,[2]Sheet1!$G:$G,"non trovato")</f>
        <v>41.844964599999997</v>
      </c>
      <c r="H42">
        <f>_xlfn.XLOOKUP(A42,[2]Sheet1!$A:$A,[2]Sheet1!$H:$H,"non trovato")</f>
        <v>12.4375415</v>
      </c>
    </row>
    <row r="43" spans="1:8" x14ac:dyDescent="0.25">
      <c r="A43" s="1" t="str">
        <v>500000120350</v>
      </c>
      <c r="B43" s="1" t="str">
        <f>_xlfn.XLOOKUP(A43,[1]!TabellaContenitori[PdR],[1]!TabellaContenitori[AET])</f>
        <v>TRULLO - MONTE CUCCO</v>
      </c>
      <c r="C43" s="1" t="str">
        <f>_xlfn.XLOOKUP(A43,[1]!TabellaContenitori[PdR],[1]!TabellaContenitori[Numero civico])</f>
        <v>391</v>
      </c>
      <c r="D43" s="1" t="str">
        <f t="shared" si="0"/>
        <v>TRULLO - MONTE CUCCO, 391, Roma</v>
      </c>
      <c r="E43" s="1" t="str">
        <f t="shared" si="1"/>
        <v>TRULLO - MONTE CUCCO</v>
      </c>
      <c r="F43" s="1" t="str">
        <f>_xlfn.XLOOKUP(B43,[1]!Tabella_N_Assi[Indirizzo],[1]!Tabella_N_Assi[Tipo Mezzo Preferenziale],"non trovato")</f>
        <v>non trovato</v>
      </c>
      <c r="G43">
        <f>_xlfn.XLOOKUP(A43,[2]Sheet1!$A:$A,[2]Sheet1!$G:$G,"non trovato")</f>
        <v>41.8431517</v>
      </c>
      <c r="H43">
        <f>_xlfn.XLOOKUP(A43,[2]Sheet1!$A:$A,[2]Sheet1!$H:$H,"non trovato")</f>
        <v>12.436747499999999</v>
      </c>
    </row>
    <row r="44" spans="1:8" x14ac:dyDescent="0.25">
      <c r="A44" s="1" t="str">
        <v>500000069434</v>
      </c>
      <c r="B44" s="1" t="str">
        <f>_xlfn.XLOOKUP(A44,[1]!TabellaContenitori[PdR],[1]!TabellaContenitori[AET])</f>
        <v>TRULLO - MONTE CUCCO</v>
      </c>
      <c r="C44" s="1" t="str">
        <f>_xlfn.XLOOKUP(A44,[1]!TabellaContenitori[PdR],[1]!TabellaContenitori[Numero civico])</f>
        <v>107</v>
      </c>
      <c r="D44" s="1" t="str">
        <f t="shared" si="0"/>
        <v>TRULLO - MONTE CUCCO, 107, Roma</v>
      </c>
      <c r="E44" s="1" t="str">
        <f t="shared" si="1"/>
        <v>TRULLO - MONTE CUCCO</v>
      </c>
      <c r="F44" s="1" t="str">
        <f>_xlfn.XLOOKUP(B44,[1]!Tabella_N_Assi[Indirizzo],[1]!Tabella_N_Assi[Tipo Mezzo Preferenziale],"non trovato")</f>
        <v>non trovato</v>
      </c>
      <c r="G44">
        <f>_xlfn.XLOOKUP(A44,[2]Sheet1!$A:$A,[2]Sheet1!$G:$G,"non trovato")</f>
        <v>41.850358300000003</v>
      </c>
      <c r="H44">
        <f>_xlfn.XLOOKUP(A44,[2]Sheet1!$A:$A,[2]Sheet1!$H:$H,"non trovato")</f>
        <v>12.4457421</v>
      </c>
    </row>
    <row r="45" spans="1:8" x14ac:dyDescent="0.25">
      <c r="A45" s="1" t="str">
        <v>500000063736</v>
      </c>
      <c r="B45" s="1" t="str">
        <f>_xlfn.XLOOKUP(A45,[1]!TabellaContenitori[PdR],[1]!TabellaContenitori[AET])</f>
        <v>TRULLO - MONTE CUCCO</v>
      </c>
      <c r="C45" s="1" t="str">
        <f>_xlfn.XLOOKUP(A45,[1]!TabellaContenitori[PdR],[1]!TabellaContenitori[Numero civico])</f>
        <v>90</v>
      </c>
      <c r="D45" s="1" t="str">
        <f t="shared" si="0"/>
        <v>TRULLO - MONTE CUCCO, 90, Roma</v>
      </c>
      <c r="E45" s="1" t="str">
        <f t="shared" si="1"/>
        <v>TRULLO - MONTE CUCCO</v>
      </c>
      <c r="F45" s="1" t="str">
        <f>_xlfn.XLOOKUP(B45,[1]!Tabella_N_Assi[Indirizzo],[1]!Tabella_N_Assi[Tipo Mezzo Preferenziale],"non trovato")</f>
        <v>non trovato</v>
      </c>
      <c r="G45">
        <f>_xlfn.XLOOKUP(A45,[2]Sheet1!$A:$A,[2]Sheet1!$G:$G,"non trovato")</f>
        <v>41.842198699999997</v>
      </c>
      <c r="H45">
        <f>_xlfn.XLOOKUP(A45,[2]Sheet1!$A:$A,[2]Sheet1!$H:$H,"non trovato")</f>
        <v>12.441648199999999</v>
      </c>
    </row>
    <row r="46" spans="1:8" x14ac:dyDescent="0.25">
      <c r="A46" s="1" t="str">
        <v>500000036006</v>
      </c>
      <c r="B46" s="1" t="str">
        <f>_xlfn.XLOOKUP(A46,[1]!TabellaContenitori[PdR],[1]!TabellaContenitori[AET])</f>
        <v>TRULLO - MONTE DELLE CAPRE</v>
      </c>
      <c r="C46" s="1" t="str">
        <f>_xlfn.XLOOKUP(A46,[1]!TabellaContenitori[PdR],[1]!TabellaContenitori[Numero civico])</f>
        <v>18</v>
      </c>
      <c r="D46" s="1" t="str">
        <f t="shared" si="0"/>
        <v>TRULLO - MONTE DELLE CAPRE, 18, Roma</v>
      </c>
      <c r="E46" s="1" t="str">
        <f t="shared" si="1"/>
        <v>TRULLO - MONTE DELLE CAPRE</v>
      </c>
      <c r="F46" s="1" t="str">
        <f>_xlfn.XLOOKUP(B46,[1]!Tabella_N_Assi[Indirizzo],[1]!Tabella_N_Assi[Tipo Mezzo Preferenziale],"non trovato")</f>
        <v>non trovato</v>
      </c>
      <c r="G46">
        <f>_xlfn.XLOOKUP(A46,[2]Sheet1!$A:$A,[2]Sheet1!$G:$G,"non trovato")</f>
        <v>41.843478599999997</v>
      </c>
      <c r="H46">
        <f>_xlfn.XLOOKUP(A46,[2]Sheet1!$A:$A,[2]Sheet1!$H:$H,"non trovato")</f>
        <v>12.4276889</v>
      </c>
    </row>
    <row r="47" spans="1:8" x14ac:dyDescent="0.25">
      <c r="A47" s="1" t="str">
        <v>500000032896</v>
      </c>
      <c r="B47" s="1" t="str">
        <f>_xlfn.XLOOKUP(A47,[1]!TabellaContenitori[PdR],[1]!TabellaContenitori[AET])</f>
        <v>CASETTA MATTEI</v>
      </c>
      <c r="C47" s="1" t="str">
        <f>_xlfn.XLOOKUP(A47,[1]!TabellaContenitori[PdR],[1]!TabellaContenitori[Numero civico])</f>
        <v>70</v>
      </c>
      <c r="D47" s="1" t="str">
        <f t="shared" si="0"/>
        <v>CASETTA MATTEI, 70, Roma</v>
      </c>
      <c r="E47" s="1" t="str">
        <f t="shared" si="1"/>
        <v>CASETTA MATTEI</v>
      </c>
      <c r="F47" s="1" t="str">
        <f>_xlfn.XLOOKUP(B47,[1]!Tabella_N_Assi[Indirizzo],[1]!Tabella_N_Assi[Tipo Mezzo Preferenziale],"non trovato")</f>
        <v>non trovato</v>
      </c>
      <c r="G47">
        <f>_xlfn.XLOOKUP(A47,[2]Sheet1!$A:$A,[2]Sheet1!$G:$G,"non trovato")</f>
        <v>41.859758599999999</v>
      </c>
      <c r="H47">
        <f>_xlfn.XLOOKUP(A47,[2]Sheet1!$A:$A,[2]Sheet1!$H:$H,"non trovato")</f>
        <v>12.419367100000001</v>
      </c>
    </row>
    <row r="48" spans="1:8" x14ac:dyDescent="0.25">
      <c r="A48" s="1" t="str">
        <v>500000096245</v>
      </c>
      <c r="B48" s="1" t="str">
        <f>_xlfn.XLOOKUP(A48,[1]!TabellaContenitori[PdR],[1]!TabellaContenitori[AET])</f>
        <v>CORVIALE</v>
      </c>
      <c r="C48" s="1" t="str">
        <f>_xlfn.XLOOKUP(A48,[1]!TabellaContenitori[PdR],[1]!TabellaContenitori[Numero civico])</f>
        <v>5</v>
      </c>
      <c r="D48" s="1" t="str">
        <f t="shared" si="0"/>
        <v>CORVIALE, 5, Roma</v>
      </c>
      <c r="E48" s="1" t="str">
        <f t="shared" si="1"/>
        <v>CORVIALE</v>
      </c>
      <c r="F48" s="1" t="str">
        <f>_xlfn.XLOOKUP(B48,[1]!Tabella_N_Assi[Indirizzo],[1]!Tabella_N_Assi[Tipo Mezzo Preferenziale],"non trovato")</f>
        <v>non trovato</v>
      </c>
      <c r="G48">
        <f>_xlfn.XLOOKUP(A48,[2]Sheet1!$A:$A,[2]Sheet1!$G:$G,"non trovato")</f>
        <v>41.852738500000001</v>
      </c>
      <c r="H48">
        <f>_xlfn.XLOOKUP(A48,[2]Sheet1!$A:$A,[2]Sheet1!$H:$H,"non trovato")</f>
        <v>12.4131214</v>
      </c>
    </row>
    <row r="49" spans="1:8" x14ac:dyDescent="0.25">
      <c r="A49" s="1" t="str">
        <v>500000135216</v>
      </c>
      <c r="B49" s="1" t="str">
        <f>_xlfn.XLOOKUP(A49,[1]!TabellaContenitori[PdR],[1]!TabellaContenitori[AET])</f>
        <v>TRULLO - MONTE DELLE CAPRE</v>
      </c>
      <c r="C49" s="1" t="str">
        <f>_xlfn.XLOOKUP(A49,[1]!TabellaContenitori[PdR],[1]!TabellaContenitori[Numero civico])</f>
        <v>13</v>
      </c>
      <c r="D49" s="1" t="str">
        <f t="shared" si="0"/>
        <v>TRULLO - MONTE DELLE CAPRE, 13, Roma</v>
      </c>
      <c r="E49" s="1" t="str">
        <f t="shared" si="1"/>
        <v>TRULLO - MONTE DELLE CAPRE</v>
      </c>
      <c r="F49" s="1" t="str">
        <f>_xlfn.XLOOKUP(B49,[1]!Tabella_N_Assi[Indirizzo],[1]!Tabella_N_Assi[Tipo Mezzo Preferenziale],"non trovato")</f>
        <v>non trovato</v>
      </c>
      <c r="G49">
        <f>_xlfn.XLOOKUP(A49,[2]Sheet1!$A:$A,[2]Sheet1!$G:$G,"non trovato")</f>
        <v>41.836607299999997</v>
      </c>
      <c r="H49">
        <f>_xlfn.XLOOKUP(A49,[2]Sheet1!$A:$A,[2]Sheet1!$H:$H,"non trovato")</f>
        <v>12.4284626</v>
      </c>
    </row>
    <row r="50" spans="1:8" x14ac:dyDescent="0.25">
      <c r="A50" s="1" t="str">
        <v>500000014534</v>
      </c>
      <c r="B50" s="1" t="str">
        <f>_xlfn.XLOOKUP(A50,[1]!TabellaContenitori[PdR],[1]!TabellaContenitori[AET])</f>
        <v>CASETTA MATTEI</v>
      </c>
      <c r="C50" s="1" t="str">
        <f>_xlfn.XLOOKUP(A50,[1]!TabellaContenitori[PdR],[1]!TabellaContenitori[Numero civico])</f>
        <v>8</v>
      </c>
      <c r="D50" s="1" t="str">
        <f t="shared" si="0"/>
        <v>CASETTA MATTEI, 8, Roma</v>
      </c>
      <c r="E50" s="1" t="str">
        <f t="shared" si="1"/>
        <v>CASETTA MATTEI</v>
      </c>
      <c r="F50" s="1" t="str">
        <f>_xlfn.XLOOKUP(B50,[1]!Tabella_N_Assi[Indirizzo],[1]!Tabella_N_Assi[Tipo Mezzo Preferenziale],"non trovato")</f>
        <v>non trovato</v>
      </c>
      <c r="G50">
        <f>_xlfn.XLOOKUP(A50,[2]Sheet1!$A:$A,[2]Sheet1!$G:$G,"non trovato")</f>
        <v>41.858801</v>
      </c>
      <c r="H50">
        <f>_xlfn.XLOOKUP(A50,[2]Sheet1!$A:$A,[2]Sheet1!$H:$H,"non trovato")</f>
        <v>12.4178953</v>
      </c>
    </row>
    <row r="51" spans="1:8" x14ac:dyDescent="0.25">
      <c r="A51" s="1" t="str">
        <v>500000096249</v>
      </c>
      <c r="B51" s="1" t="str">
        <f>_xlfn.XLOOKUP(A51,[1]!TabellaContenitori[PdR],[1]!TabellaContenitori[AET])</f>
        <v>CORVIALE</v>
      </c>
      <c r="C51" s="1" t="str">
        <f>_xlfn.XLOOKUP(A51,[1]!TabellaContenitori[PdR],[1]!TabellaContenitori[Numero civico])</f>
        <v>5</v>
      </c>
      <c r="D51" s="1" t="str">
        <f t="shared" si="0"/>
        <v>CORVIALE, 5, Roma</v>
      </c>
      <c r="E51" s="1" t="str">
        <f t="shared" si="1"/>
        <v>CORVIALE</v>
      </c>
      <c r="F51" s="1" t="str">
        <f>_xlfn.XLOOKUP(B51,[1]!Tabella_N_Assi[Indirizzo],[1]!Tabella_N_Assi[Tipo Mezzo Preferenziale],"non trovato")</f>
        <v>non trovato</v>
      </c>
      <c r="G51">
        <f>_xlfn.XLOOKUP(A51,[2]Sheet1!$A:$A,[2]Sheet1!$G:$G,"non trovato")</f>
        <v>41.852738500000001</v>
      </c>
      <c r="H51">
        <f>_xlfn.XLOOKUP(A51,[2]Sheet1!$A:$A,[2]Sheet1!$H:$H,"non trovato")</f>
        <v>12.4131214</v>
      </c>
    </row>
    <row r="52" spans="1:8" x14ac:dyDescent="0.25">
      <c r="A52" s="1" t="str">
        <v>500000032904</v>
      </c>
      <c r="B52" s="1" t="str">
        <f>_xlfn.XLOOKUP(A52,[1]!TabellaContenitori[PdR],[1]!TabellaContenitori[AET])</f>
        <v>CASETTA MATTEI</v>
      </c>
      <c r="C52" s="1" t="str">
        <f>_xlfn.XLOOKUP(A52,[1]!TabellaContenitori[PdR],[1]!TabellaContenitori[Numero civico])</f>
        <v>102</v>
      </c>
      <c r="D52" s="1" t="str">
        <f t="shared" si="0"/>
        <v>CASETTA MATTEI, 102, Roma</v>
      </c>
      <c r="E52" s="1" t="str">
        <f t="shared" si="1"/>
        <v>CASETTA MATTEI</v>
      </c>
      <c r="F52" s="1" t="str">
        <f>_xlfn.XLOOKUP(B52,[1]!Tabella_N_Assi[Indirizzo],[1]!Tabella_N_Assi[Tipo Mezzo Preferenziale],"non trovato")</f>
        <v>non trovato</v>
      </c>
      <c r="G52">
        <f>_xlfn.XLOOKUP(A52,[2]Sheet1!$A:$A,[2]Sheet1!$G:$G,"non trovato")</f>
        <v>41.859758599999999</v>
      </c>
      <c r="H52">
        <f>_xlfn.XLOOKUP(A52,[2]Sheet1!$A:$A,[2]Sheet1!$H:$H,"non trovato")</f>
        <v>12.419367100000001</v>
      </c>
    </row>
    <row r="53" spans="1:8" x14ac:dyDescent="0.25">
      <c r="A53" s="1" t="str">
        <v>500000025637</v>
      </c>
      <c r="B53" s="1" t="str">
        <f>_xlfn.XLOOKUP(A53,[1]!TabellaContenitori[PdR],[1]!TabellaContenitori[AET])</f>
        <v>CASETTA MATTEI</v>
      </c>
      <c r="C53" s="1" t="str">
        <f>_xlfn.XLOOKUP(A53,[1]!TabellaContenitori[PdR],[1]!TabellaContenitori[Numero civico])</f>
        <v>158</v>
      </c>
      <c r="D53" s="1" t="str">
        <f t="shared" si="0"/>
        <v>CASETTA MATTEI, 158, Roma</v>
      </c>
      <c r="E53" s="1" t="str">
        <f t="shared" si="1"/>
        <v>CASETTA MATTEI</v>
      </c>
      <c r="F53" s="1" t="str">
        <f>_xlfn.XLOOKUP(B53,[1]!Tabella_N_Assi[Indirizzo],[1]!Tabella_N_Assi[Tipo Mezzo Preferenziale],"non trovato")</f>
        <v>non trovato</v>
      </c>
      <c r="G53">
        <f>_xlfn.XLOOKUP(A53,[2]Sheet1!$A:$A,[2]Sheet1!$G:$G,"non trovato")</f>
        <v>41.853047799999999</v>
      </c>
      <c r="H53">
        <f>_xlfn.XLOOKUP(A53,[2]Sheet1!$A:$A,[2]Sheet1!$H:$H,"non trovato")</f>
        <v>12.4285136</v>
      </c>
    </row>
    <row r="54" spans="1:8" x14ac:dyDescent="0.25">
      <c r="A54" s="1" t="str">
        <v>500000139973</v>
      </c>
      <c r="B54" s="1" t="str">
        <f>_xlfn.XLOOKUP(A54,[1]!TabellaContenitori[PdR],[1]!TabellaContenitori[AET])</f>
        <v>CORVIALE</v>
      </c>
      <c r="C54" s="1" t="str">
        <f>_xlfn.XLOOKUP(A54,[1]!TabellaContenitori[PdR],[1]!TabellaContenitori[Numero civico])</f>
        <v>226</v>
      </c>
      <c r="D54" s="1" t="str">
        <f t="shared" si="0"/>
        <v>CORVIALE, 226, Roma</v>
      </c>
      <c r="E54" s="1" t="str">
        <f t="shared" si="1"/>
        <v>CORVIALE</v>
      </c>
      <c r="F54" s="1" t="str">
        <f>_xlfn.XLOOKUP(B54,[1]!Tabella_N_Assi[Indirizzo],[1]!Tabella_N_Assi[Tipo Mezzo Preferenziale],"non trovato")</f>
        <v>non trovato</v>
      </c>
      <c r="G54">
        <f>_xlfn.XLOOKUP(A54,[2]Sheet1!$A:$A,[2]Sheet1!$G:$G,"non trovato")</f>
        <v>41.851610000000001</v>
      </c>
      <c r="H54">
        <f>_xlfn.XLOOKUP(A54,[2]Sheet1!$A:$A,[2]Sheet1!$H:$H,"non trovato")</f>
        <v>12.414733699999999</v>
      </c>
    </row>
    <row r="55" spans="1:8" x14ac:dyDescent="0.25">
      <c r="A55" s="1" t="str">
        <v>500000083033</v>
      </c>
      <c r="B55" s="1" t="str">
        <f>_xlfn.XLOOKUP(A55,[1]!TabellaContenitori[PdR],[1]!TabellaContenitori[AET])</f>
        <v>TRULLO - MONTE DELLE CAPRE</v>
      </c>
      <c r="C55" s="1" t="str">
        <f>_xlfn.XLOOKUP(A55,[1]!TabellaContenitori[PdR],[1]!TabellaContenitori[Numero civico])</f>
        <v>23</v>
      </c>
      <c r="D55" s="1" t="str">
        <f t="shared" si="0"/>
        <v>TRULLO - MONTE DELLE CAPRE, 23, Roma</v>
      </c>
      <c r="E55" s="1" t="str">
        <f t="shared" si="1"/>
        <v>TRULLO - MONTE DELLE CAPRE</v>
      </c>
      <c r="F55" s="1" t="str">
        <f>_xlfn.XLOOKUP(B55,[1]!Tabella_N_Assi[Indirizzo],[1]!Tabella_N_Assi[Tipo Mezzo Preferenziale],"non trovato")</f>
        <v>non trovato</v>
      </c>
      <c r="G55">
        <f>_xlfn.XLOOKUP(A55,[2]Sheet1!$A:$A,[2]Sheet1!$G:$G,"non trovato")</f>
        <v>41.845074400000001</v>
      </c>
      <c r="H55">
        <f>_xlfn.XLOOKUP(A55,[2]Sheet1!$A:$A,[2]Sheet1!$H:$H,"non trovato")</f>
        <v>12.4281592</v>
      </c>
    </row>
    <row r="56" spans="1:8" x14ac:dyDescent="0.25">
      <c r="A56" s="1" t="str">
        <v>500000032914</v>
      </c>
      <c r="B56" s="1" t="str">
        <f>_xlfn.XLOOKUP(A56,[1]!TabellaContenitori[PdR],[1]!TabellaContenitori[AET])</f>
        <v>CASETTA MATTEI</v>
      </c>
      <c r="C56" s="1" t="str">
        <f>_xlfn.XLOOKUP(A56,[1]!TabellaContenitori[PdR],[1]!TabellaContenitori[Numero civico])</f>
        <v>176</v>
      </c>
      <c r="D56" s="1" t="str">
        <f t="shared" si="0"/>
        <v>CASETTA MATTEI, 176, Roma</v>
      </c>
      <c r="E56" s="1" t="str">
        <f t="shared" si="1"/>
        <v>CASETTA MATTEI</v>
      </c>
      <c r="F56" s="1" t="str">
        <f>_xlfn.XLOOKUP(B56,[1]!Tabella_N_Assi[Indirizzo],[1]!Tabella_N_Assi[Tipo Mezzo Preferenziale],"non trovato")</f>
        <v>non trovato</v>
      </c>
      <c r="G56">
        <f>_xlfn.XLOOKUP(A56,[2]Sheet1!$A:$A,[2]Sheet1!$G:$G,"non trovato")</f>
        <v>41.859758599999999</v>
      </c>
      <c r="H56">
        <f>_xlfn.XLOOKUP(A56,[2]Sheet1!$A:$A,[2]Sheet1!$H:$H,"non trovato")</f>
        <v>12.419367100000001</v>
      </c>
    </row>
    <row r="57" spans="1:8" x14ac:dyDescent="0.25">
      <c r="A57" s="1" t="str">
        <v>500000120322</v>
      </c>
      <c r="B57" s="1" t="str">
        <f>_xlfn.XLOOKUP(A57,[1]!TabellaContenitori[PdR],[1]!TabellaContenitori[AET])</f>
        <v>TRULLO - MONTE DELLE CAPRE</v>
      </c>
      <c r="C57" s="1" t="str">
        <f>_xlfn.XLOOKUP(A57,[1]!TabellaContenitori[PdR],[1]!TabellaContenitori[Numero civico])</f>
        <v>176</v>
      </c>
      <c r="D57" s="1" t="str">
        <f t="shared" si="0"/>
        <v>TRULLO - MONTE DELLE CAPRE, 176, Roma</v>
      </c>
      <c r="E57" s="1" t="str">
        <f t="shared" si="1"/>
        <v>TRULLO - MONTE DELLE CAPRE</v>
      </c>
      <c r="F57" s="1" t="str">
        <f>_xlfn.XLOOKUP(B57,[1]!Tabella_N_Assi[Indirizzo],[1]!Tabella_N_Assi[Tipo Mezzo Preferenziale],"non trovato")</f>
        <v>non trovato</v>
      </c>
      <c r="G57">
        <f>_xlfn.XLOOKUP(A57,[2]Sheet1!$A:$A,[2]Sheet1!$G:$G,"non trovato")</f>
        <v>41.8431517</v>
      </c>
      <c r="H57">
        <f>_xlfn.XLOOKUP(A57,[2]Sheet1!$A:$A,[2]Sheet1!$H:$H,"non trovato")</f>
        <v>12.436747499999999</v>
      </c>
    </row>
    <row r="58" spans="1:8" x14ac:dyDescent="0.25">
      <c r="A58" s="1" t="str">
        <v>500000032892</v>
      </c>
      <c r="B58" s="1" t="str">
        <f>_xlfn.XLOOKUP(A58,[1]!TabellaContenitori[PdR],[1]!TabellaContenitori[AET])</f>
        <v>CASETTA MATTEI</v>
      </c>
      <c r="C58" s="1" t="str">
        <f>_xlfn.XLOOKUP(A58,[1]!TabellaContenitori[PdR],[1]!TabellaContenitori[Numero civico])</f>
        <v>9</v>
      </c>
      <c r="D58" s="1" t="str">
        <f t="shared" si="0"/>
        <v>CASETTA MATTEI, 9, Roma</v>
      </c>
      <c r="E58" s="1" t="str">
        <f t="shared" si="1"/>
        <v>CASETTA MATTEI</v>
      </c>
      <c r="F58" s="1" t="str">
        <f>_xlfn.XLOOKUP(B58,[1]!Tabella_N_Assi[Indirizzo],[1]!Tabella_N_Assi[Tipo Mezzo Preferenziale],"non trovato")</f>
        <v>non trovato</v>
      </c>
      <c r="G58">
        <f>_xlfn.XLOOKUP(A58,[2]Sheet1!$A:$A,[2]Sheet1!$G:$G,"non trovato")</f>
        <v>41.859758599999999</v>
      </c>
      <c r="H58">
        <f>_xlfn.XLOOKUP(A58,[2]Sheet1!$A:$A,[2]Sheet1!$H:$H,"non trovato")</f>
        <v>12.419367100000001</v>
      </c>
    </row>
    <row r="59" spans="1:8" x14ac:dyDescent="0.25">
      <c r="A59" s="1" t="str">
        <v>500000038829</v>
      </c>
      <c r="B59" s="1" t="str">
        <f>_xlfn.XLOOKUP(A59,[1]!TabellaContenitori[PdR],[1]!TabellaContenitori[AET])</f>
        <v>TRULLO - MONTE DELLE CAPRE</v>
      </c>
      <c r="C59" s="1" t="str">
        <f>_xlfn.XLOOKUP(A59,[1]!TabellaContenitori[PdR],[1]!TabellaContenitori[Numero civico])</f>
        <v>4</v>
      </c>
      <c r="D59" s="1" t="str">
        <f t="shared" si="0"/>
        <v>TRULLO - MONTE DELLE CAPRE, 4, Roma</v>
      </c>
      <c r="E59" s="1" t="str">
        <f t="shared" si="1"/>
        <v>TRULLO - MONTE DELLE CAPRE</v>
      </c>
      <c r="F59" s="1" t="str">
        <f>_xlfn.XLOOKUP(B59,[1]!Tabella_N_Assi[Indirizzo],[1]!Tabella_N_Assi[Tipo Mezzo Preferenziale],"non trovato")</f>
        <v>non trovato</v>
      </c>
      <c r="G59">
        <f>_xlfn.XLOOKUP(A59,[2]Sheet1!$A:$A,[2]Sheet1!$G:$G,"non trovato")</f>
        <v>41.838455099999997</v>
      </c>
      <c r="H59">
        <f>_xlfn.XLOOKUP(A59,[2]Sheet1!$A:$A,[2]Sheet1!$H:$H,"non trovato")</f>
        <v>12.420400600000001</v>
      </c>
    </row>
    <row r="60" spans="1:8" x14ac:dyDescent="0.25">
      <c r="A60" s="1" t="str">
        <v>500000096247</v>
      </c>
      <c r="B60" s="1" t="str">
        <f>_xlfn.XLOOKUP(A60,[1]!TabellaContenitori[PdR],[1]!TabellaContenitori[AET])</f>
        <v>CORVIALE</v>
      </c>
      <c r="C60" s="1" t="str">
        <f>_xlfn.XLOOKUP(A60,[1]!TabellaContenitori[PdR],[1]!TabellaContenitori[Numero civico])</f>
        <v>5</v>
      </c>
      <c r="D60" s="1" t="str">
        <f t="shared" si="0"/>
        <v>CORVIALE, 5, Roma</v>
      </c>
      <c r="E60" s="1" t="str">
        <f t="shared" si="1"/>
        <v>CORVIALE</v>
      </c>
      <c r="F60" s="1" t="str">
        <f>_xlfn.XLOOKUP(B60,[1]!Tabella_N_Assi[Indirizzo],[1]!Tabella_N_Assi[Tipo Mezzo Preferenziale],"non trovato")</f>
        <v>non trovato</v>
      </c>
      <c r="G60">
        <f>_xlfn.XLOOKUP(A60,[2]Sheet1!$A:$A,[2]Sheet1!$G:$G,"non trovato")</f>
        <v>41.852738500000001</v>
      </c>
      <c r="H60">
        <f>_xlfn.XLOOKUP(A60,[2]Sheet1!$A:$A,[2]Sheet1!$H:$H,"non trovato")</f>
        <v>12.4131214</v>
      </c>
    </row>
    <row r="61" spans="1:8" x14ac:dyDescent="0.25">
      <c r="A61" s="1" t="str">
        <v>500000032923</v>
      </c>
      <c r="B61" s="1" t="str">
        <f>_xlfn.XLOOKUP(A61,[1]!TabellaContenitori[PdR],[1]!TabellaContenitori[AET])</f>
        <v>CASETTA MATTEI</v>
      </c>
      <c r="C61" s="1" t="str">
        <f>_xlfn.XLOOKUP(A61,[1]!TabellaContenitori[PdR],[1]!TabellaContenitori[Numero civico])</f>
        <v>245</v>
      </c>
      <c r="D61" s="1" t="str">
        <f t="shared" si="0"/>
        <v>CASETTA MATTEI, 245, Roma</v>
      </c>
      <c r="E61" s="1" t="str">
        <f t="shared" si="1"/>
        <v>CASETTA MATTEI</v>
      </c>
      <c r="F61" s="1" t="str">
        <f>_xlfn.XLOOKUP(B61,[1]!Tabella_N_Assi[Indirizzo],[1]!Tabella_N_Assi[Tipo Mezzo Preferenziale],"non trovato")</f>
        <v>non trovato</v>
      </c>
      <c r="G61">
        <f>_xlfn.XLOOKUP(A61,[2]Sheet1!$A:$A,[2]Sheet1!$G:$G,"non trovato")</f>
        <v>41.859758599999999</v>
      </c>
      <c r="H61">
        <f>_xlfn.XLOOKUP(A61,[2]Sheet1!$A:$A,[2]Sheet1!$H:$H,"non trovato")</f>
        <v>12.419367100000001</v>
      </c>
    </row>
    <row r="62" spans="1:8" x14ac:dyDescent="0.25">
      <c r="A62" s="1" t="str">
        <v>500000075944</v>
      </c>
      <c r="B62" s="1" t="str">
        <f>_xlfn.XLOOKUP(A62,[1]!TabellaContenitori[PdR],[1]!TabellaContenitori[AET])</f>
        <v>PARCO DE' MEDICI</v>
      </c>
      <c r="C62" s="1" t="str">
        <f>_xlfn.XLOOKUP(A62,[1]!TabellaContenitori[PdR],[1]!TabellaContenitori[Numero civico])</f>
        <v>527</v>
      </c>
      <c r="D62" s="1" t="str">
        <f t="shared" si="0"/>
        <v>PARCO DE' MEDICI, 527, Roma</v>
      </c>
      <c r="E62" s="1" t="str">
        <f t="shared" si="1"/>
        <v>PARCO DE' MEDICI</v>
      </c>
      <c r="F62" s="1" t="str">
        <f>_xlfn.XLOOKUP(B62,[1]!Tabella_N_Assi[Indirizzo],[1]!Tabella_N_Assi[Tipo Mezzo Preferenziale],"non trovato")</f>
        <v>non trovato</v>
      </c>
      <c r="G62">
        <f>_xlfn.XLOOKUP(A62,[2]Sheet1!$A:$A,[2]Sheet1!$G:$G,"non trovato")</f>
        <v>41.821498800000001</v>
      </c>
      <c r="H62">
        <f>_xlfn.XLOOKUP(A62,[2]Sheet1!$A:$A,[2]Sheet1!$H:$H,"non trovato")</f>
        <v>12.394792799999999</v>
      </c>
    </row>
    <row r="63" spans="1:8" x14ac:dyDescent="0.25">
      <c r="A63" s="1" t="str">
        <v>500000153067</v>
      </c>
      <c r="B63" s="1" t="str">
        <f>_xlfn.XLOOKUP(A63,[1]!TabellaContenitori[PdR],[1]!TabellaContenitori[AET])</f>
        <v>TRULLO - MONTE DELLE CAPRE</v>
      </c>
      <c r="C63" s="1" t="str">
        <f>_xlfn.XLOOKUP(A63,[1]!TabellaContenitori[PdR],[1]!TabellaContenitori[Numero civico])</f>
        <v>118</v>
      </c>
      <c r="D63" s="1" t="str">
        <f t="shared" si="0"/>
        <v>TRULLO - MONTE DELLE CAPRE, 118, Roma</v>
      </c>
      <c r="E63" s="1" t="str">
        <f t="shared" si="1"/>
        <v>TRULLO - MONTE DELLE CAPRE</v>
      </c>
      <c r="F63" s="1" t="str">
        <f>_xlfn.XLOOKUP(B63,[1]!Tabella_N_Assi[Indirizzo],[1]!Tabella_N_Assi[Tipo Mezzo Preferenziale],"non trovato")</f>
        <v>non trovato</v>
      </c>
      <c r="G63">
        <f>_xlfn.XLOOKUP(A63,[2]Sheet1!$A:$A,[2]Sheet1!$G:$G,"non trovato")</f>
        <v>41.837925400000003</v>
      </c>
      <c r="H63">
        <f>_xlfn.XLOOKUP(A63,[2]Sheet1!$A:$A,[2]Sheet1!$H:$H,"non trovato")</f>
        <v>12.4319752</v>
      </c>
    </row>
    <row r="64" spans="1:8" x14ac:dyDescent="0.25">
      <c r="A64" s="1" t="str">
        <v>500000010204</v>
      </c>
      <c r="B64" s="1" t="str">
        <f>_xlfn.XLOOKUP(A64,[1]!TabellaContenitori[PdR],[1]!TabellaContenitori[AET])</f>
        <v>CASETTA MATTEI</v>
      </c>
      <c r="C64" s="1" t="str">
        <f>_xlfn.XLOOKUP(A64,[1]!TabellaContenitori[PdR],[1]!TabellaContenitori[Numero civico])</f>
        <v>60</v>
      </c>
      <c r="D64" s="1" t="str">
        <f t="shared" si="0"/>
        <v>CASETTA MATTEI, 60, Roma</v>
      </c>
      <c r="E64" s="1" t="str">
        <f t="shared" si="1"/>
        <v>CASETTA MATTEI</v>
      </c>
      <c r="F64" s="1" t="str">
        <f>_xlfn.XLOOKUP(B64,[1]!Tabella_N_Assi[Indirizzo],[1]!Tabella_N_Assi[Tipo Mezzo Preferenziale],"non trovato")</f>
        <v>non trovato</v>
      </c>
      <c r="G64">
        <f>_xlfn.XLOOKUP(A64,[2]Sheet1!$A:$A,[2]Sheet1!$G:$G,"non trovato")</f>
        <v>41.85998</v>
      </c>
      <c r="H64">
        <f>_xlfn.XLOOKUP(A64,[2]Sheet1!$A:$A,[2]Sheet1!$H:$H,"non trovato")</f>
        <v>12.434444600000001</v>
      </c>
    </row>
    <row r="65" spans="1:8" x14ac:dyDescent="0.25">
      <c r="A65" s="1" t="str">
        <v>500000098090</v>
      </c>
      <c r="B65" s="1" t="str">
        <f>_xlfn.XLOOKUP(A65,[1]!TabellaContenitori[PdR],[1]!TabellaContenitori[AET])</f>
        <v>PONTE GALERIA - PIANA DEL SOL</v>
      </c>
      <c r="C65" s="1" t="str">
        <f>_xlfn.XLOOKUP(A65,[1]!TabellaContenitori[PdR],[1]!TabellaContenitori[Numero civico])</f>
        <v>1680</v>
      </c>
      <c r="D65" s="1" t="str">
        <f t="shared" si="0"/>
        <v>PONTE GALERIA - PIANA DEL SOL, 1680, Roma</v>
      </c>
      <c r="E65" s="1" t="str">
        <f t="shared" si="1"/>
        <v>PONTE GALERIA - PIANA DEL SOL</v>
      </c>
      <c r="F65" s="1" t="str">
        <f>_xlfn.XLOOKUP(B65,[1]!Tabella_N_Assi[Indirizzo],[1]!Tabella_N_Assi[Tipo Mezzo Preferenziale],"non trovato")</f>
        <v>non trovato</v>
      </c>
      <c r="G65">
        <f>_xlfn.XLOOKUP(A65,[2]Sheet1!$A:$A,[2]Sheet1!$G:$G,"non trovato")</f>
        <v>41.870518400000002</v>
      </c>
      <c r="H65">
        <f>_xlfn.XLOOKUP(A65,[2]Sheet1!$A:$A,[2]Sheet1!$H:$H,"non trovato")</f>
        <v>12.4653882</v>
      </c>
    </row>
    <row r="66" spans="1:8" x14ac:dyDescent="0.25">
      <c r="A66" s="1" t="str">
        <v>500000097873</v>
      </c>
      <c r="B66" s="1" t="str">
        <f>_xlfn.XLOOKUP(A66,[1]!TabellaContenitori[PdR],[1]!TabellaContenitori[AET])</f>
        <v>CORVIALE</v>
      </c>
      <c r="C66" s="1" t="str">
        <f>_xlfn.XLOOKUP(A66,[1]!TabellaContenitori[PdR],[1]!TabellaContenitori[Numero civico])</f>
        <v>763</v>
      </c>
      <c r="D66" s="1" t="str">
        <f t="shared" si="0"/>
        <v>CORVIALE, 763, Roma</v>
      </c>
      <c r="E66" s="1" t="str">
        <f t="shared" si="1"/>
        <v>CORVIALE</v>
      </c>
      <c r="F66" s="1" t="str">
        <f>_xlfn.XLOOKUP(B66,[1]!Tabella_N_Assi[Indirizzo],[1]!Tabella_N_Assi[Tipo Mezzo Preferenziale],"non trovato")</f>
        <v>non trovato</v>
      </c>
      <c r="G66">
        <f>_xlfn.XLOOKUP(A66,[2]Sheet1!$A:$A,[2]Sheet1!$G:$G,"non trovato")</f>
        <v>41.870518400000002</v>
      </c>
      <c r="H66">
        <f>_xlfn.XLOOKUP(A66,[2]Sheet1!$A:$A,[2]Sheet1!$H:$H,"non trovato")</f>
        <v>12.4653882</v>
      </c>
    </row>
    <row r="67" spans="1:8" x14ac:dyDescent="0.25">
      <c r="A67" s="1" t="str">
        <v>500000097878</v>
      </c>
      <c r="B67" s="1" t="str">
        <f>_xlfn.XLOOKUP(A67,[1]!TabellaContenitori[PdR],[1]!TabellaContenitori[AET])</f>
        <v>CORVIALE</v>
      </c>
      <c r="C67" s="1" t="str">
        <f>_xlfn.XLOOKUP(A67,[1]!TabellaContenitori[PdR],[1]!TabellaContenitori[Numero civico])</f>
        <v>796</v>
      </c>
      <c r="D67" s="1" t="str">
        <f t="shared" ref="D67:D130" si="2">CONCATENATE(B67,", ",C67,", Roma")</f>
        <v>CORVIALE, 796, Roma</v>
      </c>
      <c r="E67" s="1" t="str">
        <f t="shared" ref="E67:E130" si="3">_xlfn.TEXTBEFORE(D67,",")</f>
        <v>CORVIALE</v>
      </c>
      <c r="F67" s="1" t="str">
        <f>_xlfn.XLOOKUP(B67,[1]!Tabella_N_Assi[Indirizzo],[1]!Tabella_N_Assi[Tipo Mezzo Preferenziale],"non trovato")</f>
        <v>non trovato</v>
      </c>
      <c r="G67">
        <f>_xlfn.XLOOKUP(A67,[2]Sheet1!$A:$A,[2]Sheet1!$G:$G,"non trovato")</f>
        <v>41.870518400000002</v>
      </c>
      <c r="H67">
        <f>_xlfn.XLOOKUP(A67,[2]Sheet1!$A:$A,[2]Sheet1!$H:$H,"non trovato")</f>
        <v>12.4653882</v>
      </c>
    </row>
    <row r="68" spans="1:8" x14ac:dyDescent="0.25">
      <c r="A68" s="1" t="str">
        <v>500000177648</v>
      </c>
      <c r="B68" s="1" t="str">
        <f>_xlfn.XLOOKUP(A68,[1]!TabellaContenitori[PdR],[1]!TabellaContenitori[AET])</f>
        <v>CORVIALE</v>
      </c>
      <c r="C68" s="1" t="str">
        <f>_xlfn.XLOOKUP(A68,[1]!TabellaContenitori[PdR],[1]!TabellaContenitori[Numero civico])</f>
        <v>53</v>
      </c>
      <c r="D68" s="1" t="str">
        <f t="shared" si="2"/>
        <v>CORVIALE, 53, Roma</v>
      </c>
      <c r="E68" s="1" t="str">
        <f t="shared" si="3"/>
        <v>CORVIALE</v>
      </c>
      <c r="F68" s="1" t="str">
        <f>_xlfn.XLOOKUP(B68,[1]!Tabella_N_Assi[Indirizzo],[1]!Tabella_N_Assi[Tipo Mezzo Preferenziale],"non trovato")</f>
        <v>non trovato</v>
      </c>
      <c r="G68">
        <f>_xlfn.XLOOKUP(A68,[2]Sheet1!$A:$A,[2]Sheet1!$G:$G,"non trovato")</f>
        <v>41.855792200000003</v>
      </c>
      <c r="H68">
        <f>_xlfn.XLOOKUP(A68,[2]Sheet1!$A:$A,[2]Sheet1!$H:$H,"non trovato")</f>
        <v>12.4143522</v>
      </c>
    </row>
    <row r="69" spans="1:8" x14ac:dyDescent="0.25">
      <c r="A69" s="1" t="str">
        <v>500000075945</v>
      </c>
      <c r="B69" s="1" t="str">
        <f>_xlfn.XLOOKUP(A69,[1]!TabellaContenitori[PdR],[1]!TabellaContenitori[AET])</f>
        <v>PARCO DE' MEDICI</v>
      </c>
      <c r="C69" s="1" t="str">
        <f>_xlfn.XLOOKUP(A69,[1]!TabellaContenitori[PdR],[1]!TabellaContenitori[Numero civico])</f>
        <v>545</v>
      </c>
      <c r="D69" s="1" t="str">
        <f t="shared" si="2"/>
        <v>PARCO DE' MEDICI, 545, Roma</v>
      </c>
      <c r="E69" s="1" t="str">
        <f t="shared" si="3"/>
        <v>PARCO DE' MEDICI</v>
      </c>
      <c r="F69" s="1" t="str">
        <f>_xlfn.XLOOKUP(B69,[1]!Tabella_N_Assi[Indirizzo],[1]!Tabella_N_Assi[Tipo Mezzo Preferenziale],"non trovato")</f>
        <v>non trovato</v>
      </c>
      <c r="G69">
        <f>_xlfn.XLOOKUP(A69,[2]Sheet1!$A:$A,[2]Sheet1!$G:$G,"non trovato")</f>
        <v>41.821498800000001</v>
      </c>
      <c r="H69">
        <f>_xlfn.XLOOKUP(A69,[2]Sheet1!$A:$A,[2]Sheet1!$H:$H,"non trovato")</f>
        <v>12.394792799999999</v>
      </c>
    </row>
    <row r="70" spans="1:8" x14ac:dyDescent="0.25">
      <c r="A70" s="1" t="str">
        <v>500000130443</v>
      </c>
      <c r="B70" s="1" t="str">
        <f>_xlfn.XLOOKUP(A70,[1]!TabellaContenitori[PdR],[1]!TabellaContenitori[AET])</f>
        <v>PARCO DE' MEDICI</v>
      </c>
      <c r="C70" s="1" t="str">
        <f>_xlfn.XLOOKUP(A70,[1]!TabellaContenitori[PdR],[1]!TabellaContenitori[Numero civico])</f>
        <v>28</v>
      </c>
      <c r="D70" s="1" t="str">
        <f t="shared" si="2"/>
        <v>PARCO DE' MEDICI, 28, Roma</v>
      </c>
      <c r="E70" s="1" t="str">
        <f t="shared" si="3"/>
        <v>PARCO DE' MEDICI</v>
      </c>
      <c r="F70" s="1" t="str">
        <f>_xlfn.XLOOKUP(B70,[1]!Tabella_N_Assi[Indirizzo],[1]!Tabella_N_Assi[Tipo Mezzo Preferenziale],"non trovato")</f>
        <v>non trovato</v>
      </c>
      <c r="G70">
        <f>_xlfn.XLOOKUP(A70,[2]Sheet1!$A:$A,[2]Sheet1!$G:$G,"non trovato")</f>
        <v>41.823333099999999</v>
      </c>
      <c r="H70">
        <f>_xlfn.XLOOKUP(A70,[2]Sheet1!$A:$A,[2]Sheet1!$H:$H,"non trovato")</f>
        <v>12.4139968</v>
      </c>
    </row>
    <row r="71" spans="1:8" x14ac:dyDescent="0.25">
      <c r="A71" s="1" t="str">
        <v>500000075928</v>
      </c>
      <c r="B71" s="1" t="str">
        <f>_xlfn.XLOOKUP(A71,[1]!TabellaContenitori[PdR],[1]!TabellaContenitori[AET])</f>
        <v>PARCO DE' MEDICI</v>
      </c>
      <c r="C71" s="1" t="str">
        <f>_xlfn.XLOOKUP(A71,[1]!TabellaContenitori[PdR],[1]!TabellaContenitori[Numero civico])</f>
        <v>329</v>
      </c>
      <c r="D71" s="1" t="str">
        <f t="shared" si="2"/>
        <v>PARCO DE' MEDICI, 329, Roma</v>
      </c>
      <c r="E71" s="1" t="str">
        <f t="shared" si="3"/>
        <v>PARCO DE' MEDICI</v>
      </c>
      <c r="F71" s="1" t="str">
        <f>_xlfn.XLOOKUP(B71,[1]!Tabella_N_Assi[Indirizzo],[1]!Tabella_N_Assi[Tipo Mezzo Preferenziale],"non trovato")</f>
        <v>non trovato</v>
      </c>
      <c r="G71">
        <f>_xlfn.XLOOKUP(A71,[2]Sheet1!$A:$A,[2]Sheet1!$G:$G,"non trovato")</f>
        <v>41.821498800000001</v>
      </c>
      <c r="H71">
        <f>_xlfn.XLOOKUP(A71,[2]Sheet1!$A:$A,[2]Sheet1!$H:$H,"non trovato")</f>
        <v>12.394792799999999</v>
      </c>
    </row>
    <row r="72" spans="1:8" x14ac:dyDescent="0.25">
      <c r="A72" s="1" t="str">
        <v>500000075989</v>
      </c>
      <c r="B72" s="1" t="str">
        <f>_xlfn.XLOOKUP(A72,[1]!TabellaContenitori[PdR],[1]!TabellaContenitori[AET])</f>
        <v>PONTE GALERIA - PIANA DEL SOL</v>
      </c>
      <c r="C72" s="1" t="str">
        <f>_xlfn.XLOOKUP(A72,[1]!TabellaContenitori[PdR],[1]!TabellaContenitori[Numero civico])</f>
        <v>856</v>
      </c>
      <c r="D72" s="1" t="str">
        <f t="shared" si="2"/>
        <v>PONTE GALERIA - PIANA DEL SOL, 856, Roma</v>
      </c>
      <c r="E72" s="1" t="str">
        <f t="shared" si="3"/>
        <v>PONTE GALERIA - PIANA DEL SOL</v>
      </c>
      <c r="F72" s="1" t="str">
        <f>_xlfn.XLOOKUP(B72,[1]!Tabella_N_Assi[Indirizzo],[1]!Tabella_N_Assi[Tipo Mezzo Preferenziale],"non trovato")</f>
        <v>non trovato</v>
      </c>
      <c r="G72">
        <f>_xlfn.XLOOKUP(A72,[2]Sheet1!$A:$A,[2]Sheet1!$G:$G,"non trovato")</f>
        <v>41.821498800000001</v>
      </c>
      <c r="H72">
        <f>_xlfn.XLOOKUP(A72,[2]Sheet1!$A:$A,[2]Sheet1!$H:$H,"non trovato")</f>
        <v>12.394792799999999</v>
      </c>
    </row>
    <row r="73" spans="1:8" x14ac:dyDescent="0.25">
      <c r="A73" s="1" t="str">
        <v>500000044260</v>
      </c>
      <c r="B73" s="1" t="str">
        <f>_xlfn.XLOOKUP(A73,[1]!TabellaContenitori[PdR],[1]!TabellaContenitori[AET])</f>
        <v>CASETTA MATTEI</v>
      </c>
      <c r="C73" s="1" t="str">
        <f>_xlfn.XLOOKUP(A73,[1]!TabellaContenitori[PdR],[1]!TabellaContenitori[Numero civico])</f>
        <v>41</v>
      </c>
      <c r="D73" s="1" t="str">
        <f t="shared" si="2"/>
        <v>CASETTA MATTEI, 41, Roma</v>
      </c>
      <c r="E73" s="1" t="str">
        <f t="shared" si="3"/>
        <v>CASETTA MATTEI</v>
      </c>
      <c r="F73" s="1" t="str">
        <f>_xlfn.XLOOKUP(B73,[1]!Tabella_N_Assi[Indirizzo],[1]!Tabella_N_Assi[Tipo Mezzo Preferenziale],"non trovato")</f>
        <v>non trovato</v>
      </c>
      <c r="G73">
        <f>_xlfn.XLOOKUP(A73,[2]Sheet1!$A:$A,[2]Sheet1!$G:$G,"non trovato")</f>
        <v>41.858250499999997</v>
      </c>
      <c r="H73">
        <f>_xlfn.XLOOKUP(A73,[2]Sheet1!$A:$A,[2]Sheet1!$H:$H,"non trovato")</f>
        <v>12.417792800000001</v>
      </c>
    </row>
    <row r="74" spans="1:8" x14ac:dyDescent="0.25">
      <c r="A74" s="1" t="str">
        <v>500000205622</v>
      </c>
      <c r="B74" s="1" t="str">
        <f>_xlfn.XLOOKUP(A74,[1]!TabellaContenitori[PdR],[1]!TabellaContenitori[AET])</f>
        <v>ODERISI DA GUBBIO</v>
      </c>
      <c r="C74" s="1" t="str">
        <f>_xlfn.XLOOKUP(A74,[1]!TabellaContenitori[PdR],[1]!TabellaContenitori[Numero civico])</f>
        <v>99999</v>
      </c>
      <c r="D74" s="1" t="str">
        <f t="shared" si="2"/>
        <v>ODERISI DA GUBBIO, 99999, Roma</v>
      </c>
      <c r="E74" s="1" t="str">
        <f t="shared" si="3"/>
        <v>ODERISI DA GUBBIO</v>
      </c>
      <c r="F74" s="1" t="str">
        <f>_xlfn.XLOOKUP(B74,[1]!Tabella_N_Assi[Indirizzo],[1]!Tabella_N_Assi[Tipo Mezzo Preferenziale],"non trovato")</f>
        <v>non trovato</v>
      </c>
      <c r="G74">
        <f>_xlfn.XLOOKUP(A74,[2]Sheet1!$A:$A,[2]Sheet1!$G:$G,"non trovato")</f>
        <v>41.870023699999997</v>
      </c>
      <c r="H74">
        <f>_xlfn.XLOOKUP(A74,[2]Sheet1!$A:$A,[2]Sheet1!$H:$H,"non trovato")</f>
        <v>12.4672248</v>
      </c>
    </row>
    <row r="75" spans="1:8" x14ac:dyDescent="0.25">
      <c r="A75" s="1" t="str">
        <v>500000015958</v>
      </c>
      <c r="B75" s="1" t="str">
        <f>_xlfn.XLOOKUP(A75,[1]!TabellaContenitori[PdR],[1]!TabellaContenitori[AET])</f>
        <v>FERMI</v>
      </c>
      <c r="C75" s="1" t="str">
        <f>_xlfn.XLOOKUP(A75,[1]!TabellaContenitori[PdR],[1]!TabellaContenitori[Numero civico])</f>
        <v>46</v>
      </c>
      <c r="D75" s="1" t="str">
        <f t="shared" si="2"/>
        <v>FERMI, 46, Roma</v>
      </c>
      <c r="E75" s="1" t="str">
        <f t="shared" si="3"/>
        <v>FERMI</v>
      </c>
      <c r="F75" s="1" t="str">
        <f>_xlfn.XLOOKUP(B75,[1]!Tabella_N_Assi[Indirizzo],[1]!Tabella_N_Assi[Tipo Mezzo Preferenziale],"non trovato")</f>
        <v>non trovato</v>
      </c>
      <c r="G75">
        <f>_xlfn.XLOOKUP(A75,[2]Sheet1!$A:$A,[2]Sheet1!$G:$G,"non trovato")</f>
        <v>41.8631125</v>
      </c>
      <c r="H75">
        <f>_xlfn.XLOOKUP(A75,[2]Sheet1!$A:$A,[2]Sheet1!$H:$H,"non trovato")</f>
        <v>12.4708924</v>
      </c>
    </row>
    <row r="76" spans="1:8" x14ac:dyDescent="0.25">
      <c r="A76" s="1" t="str">
        <v>500000068592</v>
      </c>
      <c r="B76" s="1" t="str">
        <f>_xlfn.XLOOKUP(A76,[1]!TabellaContenitori[PdR],[1]!TabellaContenitori[AET])</f>
        <v>MARCONI</v>
      </c>
      <c r="C76" s="1" t="str">
        <f>_xlfn.XLOOKUP(A76,[1]!TabellaContenitori[PdR],[1]!TabellaContenitori[Numero civico])</f>
        <v>139</v>
      </c>
      <c r="D76" s="1" t="str">
        <f t="shared" si="2"/>
        <v>MARCONI, 139, Roma</v>
      </c>
      <c r="E76" s="1" t="str">
        <f t="shared" si="3"/>
        <v>MARCONI</v>
      </c>
      <c r="F76" s="1" t="str">
        <f>_xlfn.XLOOKUP(B76,[1]!Tabella_N_Assi[Indirizzo],[1]!Tabella_N_Assi[Tipo Mezzo Preferenziale],"non trovato")</f>
        <v>non trovato</v>
      </c>
      <c r="G76">
        <f>_xlfn.XLOOKUP(A76,[2]Sheet1!$A:$A,[2]Sheet1!$G:$G,"non trovato")</f>
        <v>41.866817500000003</v>
      </c>
      <c r="H76">
        <f>_xlfn.XLOOKUP(A76,[2]Sheet1!$A:$A,[2]Sheet1!$H:$H,"non trovato")</f>
        <v>12.4688041</v>
      </c>
    </row>
    <row r="77" spans="1:8" x14ac:dyDescent="0.25">
      <c r="A77" s="1" t="str">
        <v>500000125616</v>
      </c>
      <c r="B77" s="1" t="str">
        <f>_xlfn.XLOOKUP(A77,[1]!TabellaContenitori[PdR],[1]!TabellaContenitori[AET])</f>
        <v>MARCONI</v>
      </c>
      <c r="C77" s="1" t="str">
        <f>_xlfn.XLOOKUP(A77,[1]!TabellaContenitori[PdR],[1]!TabellaContenitori[Numero civico])</f>
        <v>37</v>
      </c>
      <c r="D77" s="1" t="str">
        <f t="shared" si="2"/>
        <v>MARCONI, 37, Roma</v>
      </c>
      <c r="E77" s="1" t="str">
        <f t="shared" si="3"/>
        <v>MARCONI</v>
      </c>
      <c r="F77" s="1" t="str">
        <f>_xlfn.XLOOKUP(B77,[1]!Tabella_N_Assi[Indirizzo],[1]!Tabella_N_Assi[Tipo Mezzo Preferenziale],"non trovato")</f>
        <v>non trovato</v>
      </c>
      <c r="G77">
        <f>_xlfn.XLOOKUP(A77,[2]Sheet1!$A:$A,[2]Sheet1!$G:$G,"non trovato")</f>
        <v>41.862491400000003</v>
      </c>
      <c r="H77">
        <f>_xlfn.XLOOKUP(A77,[2]Sheet1!$A:$A,[2]Sheet1!$H:$H,"non trovato")</f>
        <v>12.4672968</v>
      </c>
    </row>
    <row r="78" spans="1:8" x14ac:dyDescent="0.25">
      <c r="A78" s="1" t="str">
        <v>500000110841</v>
      </c>
      <c r="B78" s="1" t="str">
        <f>_xlfn.XLOOKUP(A78,[1]!TabellaContenitori[PdR],[1]!TabellaContenitori[AET])</f>
        <v>FERMI</v>
      </c>
      <c r="C78" s="1" t="str">
        <f>_xlfn.XLOOKUP(A78,[1]!TabellaContenitori[PdR],[1]!TabellaContenitori[Numero civico])</f>
        <v>6</v>
      </c>
      <c r="D78" s="1" t="str">
        <f t="shared" si="2"/>
        <v>FERMI, 6, Roma</v>
      </c>
      <c r="E78" s="1" t="str">
        <f t="shared" si="3"/>
        <v>FERMI</v>
      </c>
      <c r="F78" s="1" t="str">
        <f>_xlfn.XLOOKUP(B78,[1]!Tabella_N_Assi[Indirizzo],[1]!Tabella_N_Assi[Tipo Mezzo Preferenziale],"non trovato")</f>
        <v>non trovato</v>
      </c>
      <c r="G78">
        <f>_xlfn.XLOOKUP(A78,[2]Sheet1!$A:$A,[2]Sheet1!$G:$G,"non trovato")</f>
        <v>41.862604599999997</v>
      </c>
      <c r="H78">
        <f>_xlfn.XLOOKUP(A78,[2]Sheet1!$A:$A,[2]Sheet1!$H:$H,"non trovato")</f>
        <v>12.471681</v>
      </c>
    </row>
    <row r="79" spans="1:8" x14ac:dyDescent="0.25">
      <c r="A79" s="1" t="str">
        <v>500000125615</v>
      </c>
      <c r="B79" s="1" t="str">
        <f>_xlfn.XLOOKUP(A79,[1]!TabellaContenitori[PdR],[1]!TabellaContenitori[AET])</f>
        <v>MARCONI</v>
      </c>
      <c r="C79" s="1" t="str">
        <f>_xlfn.XLOOKUP(A79,[1]!TabellaContenitori[PdR],[1]!TabellaContenitori[Numero civico])</f>
        <v>21</v>
      </c>
      <c r="D79" s="1" t="str">
        <f t="shared" si="2"/>
        <v>MARCONI, 21, Roma</v>
      </c>
      <c r="E79" s="1" t="str">
        <f t="shared" si="3"/>
        <v>MARCONI</v>
      </c>
      <c r="F79" s="1" t="str">
        <f>_xlfn.XLOOKUP(B79,[1]!Tabella_N_Assi[Indirizzo],[1]!Tabella_N_Assi[Tipo Mezzo Preferenziale],"non trovato")</f>
        <v>non trovato</v>
      </c>
      <c r="G79">
        <f>_xlfn.XLOOKUP(A79,[2]Sheet1!$A:$A,[2]Sheet1!$G:$G,"non trovato")</f>
        <v>41.862491400000003</v>
      </c>
      <c r="H79">
        <f>_xlfn.XLOOKUP(A79,[2]Sheet1!$A:$A,[2]Sheet1!$H:$H,"non trovato")</f>
        <v>12.4672968</v>
      </c>
    </row>
    <row r="80" spans="1:8" x14ac:dyDescent="0.25">
      <c r="A80" s="1" t="str">
        <v>500000068603</v>
      </c>
      <c r="B80" s="1" t="str">
        <f>_xlfn.XLOOKUP(A80,[1]!TabellaContenitori[PdR],[1]!TabellaContenitori[AET])</f>
        <v>MARCONI</v>
      </c>
      <c r="C80" s="1" t="str">
        <f>_xlfn.XLOOKUP(A80,[1]!TabellaContenitori[PdR],[1]!TabellaContenitori[Numero civico])</f>
        <v>202</v>
      </c>
      <c r="D80" s="1" t="str">
        <f t="shared" si="2"/>
        <v>MARCONI, 202, Roma</v>
      </c>
      <c r="E80" s="1" t="str">
        <f t="shared" si="3"/>
        <v>MARCONI</v>
      </c>
      <c r="F80" s="1" t="str">
        <f>_xlfn.XLOOKUP(B80,[1]!Tabella_N_Assi[Indirizzo],[1]!Tabella_N_Assi[Tipo Mezzo Preferenziale],"non trovato")</f>
        <v>non trovato</v>
      </c>
      <c r="G80">
        <f>_xlfn.XLOOKUP(A80,[2]Sheet1!$A:$A,[2]Sheet1!$G:$G,"non trovato")</f>
        <v>41.865211799999997</v>
      </c>
      <c r="H80">
        <f>_xlfn.XLOOKUP(A80,[2]Sheet1!$A:$A,[2]Sheet1!$H:$H,"non trovato")</f>
        <v>12.4687611</v>
      </c>
    </row>
    <row r="81" spans="1:8" x14ac:dyDescent="0.25">
      <c r="A81" s="1" t="str">
        <v>500000110842</v>
      </c>
      <c r="B81" s="1" t="str">
        <f>_xlfn.XLOOKUP(A81,[1]!TabellaContenitori[PdR],[1]!TabellaContenitori[AET])</f>
        <v>FERMI</v>
      </c>
      <c r="C81" s="1" t="str">
        <f>_xlfn.XLOOKUP(A81,[1]!TabellaContenitori[PdR],[1]!TabellaContenitori[Numero civico])</f>
        <v>44</v>
      </c>
      <c r="D81" s="1" t="str">
        <f t="shared" si="2"/>
        <v>FERMI, 44, Roma</v>
      </c>
      <c r="E81" s="1" t="str">
        <f t="shared" si="3"/>
        <v>FERMI</v>
      </c>
      <c r="F81" s="1" t="str">
        <f>_xlfn.XLOOKUP(B81,[1]!Tabella_N_Assi[Indirizzo],[1]!Tabella_N_Assi[Tipo Mezzo Preferenziale],"non trovato")</f>
        <v>non trovato</v>
      </c>
      <c r="G81">
        <f>_xlfn.XLOOKUP(A81,[2]Sheet1!$A:$A,[2]Sheet1!$G:$G,"non trovato")</f>
        <v>41.862604599999997</v>
      </c>
      <c r="H81">
        <f>_xlfn.XLOOKUP(A81,[2]Sheet1!$A:$A,[2]Sheet1!$H:$H,"non trovato")</f>
        <v>12.471681</v>
      </c>
    </row>
    <row r="82" spans="1:8" x14ac:dyDescent="0.25">
      <c r="A82" s="1" t="str">
        <v>500000087645</v>
      </c>
      <c r="B82" s="1" t="str">
        <f>_xlfn.XLOOKUP(A82,[1]!TabellaContenitori[PdR],[1]!TabellaContenitori[AET])</f>
        <v>ODERISI DA GUBBIO</v>
      </c>
      <c r="C82" s="1" t="str">
        <f>_xlfn.XLOOKUP(A82,[1]!TabellaContenitori[PdR],[1]!TabellaContenitori[Numero civico])</f>
        <v>100</v>
      </c>
      <c r="D82" s="1" t="str">
        <f t="shared" si="2"/>
        <v>ODERISI DA GUBBIO, 100, Roma</v>
      </c>
      <c r="E82" s="1" t="str">
        <f t="shared" si="3"/>
        <v>ODERISI DA GUBBIO</v>
      </c>
      <c r="F82" s="1" t="str">
        <f>_xlfn.XLOOKUP(B82,[1]!Tabella_N_Assi[Indirizzo],[1]!Tabella_N_Assi[Tipo Mezzo Preferenziale],"non trovato")</f>
        <v>non trovato</v>
      </c>
      <c r="G82">
        <f>_xlfn.XLOOKUP(A82,[2]Sheet1!$A:$A,[2]Sheet1!$G:$G,"non trovato")</f>
        <v>41.8635965</v>
      </c>
      <c r="H82">
        <f>_xlfn.XLOOKUP(A82,[2]Sheet1!$A:$A,[2]Sheet1!$H:$H,"non trovato")</f>
        <v>12.464426700000001</v>
      </c>
    </row>
    <row r="83" spans="1:8" x14ac:dyDescent="0.25">
      <c r="A83" s="1" t="str">
        <v>500000059428</v>
      </c>
      <c r="B83" s="1" t="str">
        <f>_xlfn.XLOOKUP(A83,[1]!TabellaContenitori[PdR],[1]!TabellaContenitori[AET])</f>
        <v>MARCONI</v>
      </c>
      <c r="C83" s="1" t="str">
        <f>_xlfn.XLOOKUP(A83,[1]!TabellaContenitori[PdR],[1]!TabellaContenitori[Numero civico])</f>
        <v>109</v>
      </c>
      <c r="D83" s="1" t="str">
        <f t="shared" si="2"/>
        <v>MARCONI, 109, Roma</v>
      </c>
      <c r="E83" s="1" t="str">
        <f t="shared" si="3"/>
        <v>MARCONI</v>
      </c>
      <c r="F83" s="1" t="str">
        <f>_xlfn.XLOOKUP(B83,[1]!Tabella_N_Assi[Indirizzo],[1]!Tabella_N_Assi[Tipo Mezzo Preferenziale],"non trovato")</f>
        <v>non trovato</v>
      </c>
      <c r="G83">
        <f>_xlfn.XLOOKUP(A83,[2]Sheet1!$A:$A,[2]Sheet1!$G:$G,"non trovato")</f>
        <v>41.862639000000001</v>
      </c>
      <c r="H83">
        <f>_xlfn.XLOOKUP(A83,[2]Sheet1!$A:$A,[2]Sheet1!$H:$H,"non trovato")</f>
        <v>12.4655162</v>
      </c>
    </row>
    <row r="84" spans="1:8" x14ac:dyDescent="0.25">
      <c r="A84" s="1" t="str">
        <v>500000009890</v>
      </c>
      <c r="B84" s="1" t="str">
        <f>_xlfn.XLOOKUP(A84,[1]!TabellaContenitori[PdR],[1]!TabellaContenitori[AET])</f>
        <v>VIGNA PIA</v>
      </c>
      <c r="C84" s="1" t="str">
        <f>_xlfn.XLOOKUP(A84,[1]!TabellaContenitori[PdR],[1]!TabellaContenitori[Numero civico])</f>
        <v>3</v>
      </c>
      <c r="D84" s="1" t="str">
        <f t="shared" si="2"/>
        <v>VIGNA PIA, 3, Roma</v>
      </c>
      <c r="E84" s="1" t="str">
        <f t="shared" si="3"/>
        <v>VIGNA PIA</v>
      </c>
      <c r="F84" s="1" t="str">
        <f>_xlfn.XLOOKUP(B84,[1]!Tabella_N_Assi[Indirizzo],[1]!Tabella_N_Assi[Tipo Mezzo Preferenziale],"non trovato")</f>
        <v>non trovato</v>
      </c>
      <c r="G84">
        <f>_xlfn.XLOOKUP(A84,[2]Sheet1!$A:$A,[2]Sheet1!$G:$G,"non trovato")</f>
        <v>41.863130499999997</v>
      </c>
      <c r="H84">
        <f>_xlfn.XLOOKUP(A84,[2]Sheet1!$A:$A,[2]Sheet1!$H:$H,"non trovato")</f>
        <v>12.458665</v>
      </c>
    </row>
    <row r="85" spans="1:8" x14ac:dyDescent="0.25">
      <c r="A85" s="1" t="str">
        <v>500000065040</v>
      </c>
      <c r="B85" s="1" t="str">
        <f>_xlfn.XLOOKUP(A85,[1]!TabellaContenitori[PdR],[1]!TabellaContenitori[AET])</f>
        <v>VIGNA PIA</v>
      </c>
      <c r="C85" s="1" t="str">
        <f>_xlfn.XLOOKUP(A85,[1]!TabellaContenitori[PdR],[1]!TabellaContenitori[Numero civico])</f>
        <v>100</v>
      </c>
      <c r="D85" s="1" t="str">
        <f t="shared" si="2"/>
        <v>VIGNA PIA, 100, Roma</v>
      </c>
      <c r="E85" s="1" t="str">
        <f t="shared" si="3"/>
        <v>VIGNA PIA</v>
      </c>
      <c r="F85" s="1" t="str">
        <f>_xlfn.XLOOKUP(B85,[1]!Tabella_N_Assi[Indirizzo],[1]!Tabella_N_Assi[Tipo Mezzo Preferenziale],"non trovato")</f>
        <v>non trovato</v>
      </c>
      <c r="G85">
        <f>_xlfn.XLOOKUP(A85,[2]Sheet1!$A:$A,[2]Sheet1!$G:$G,"non trovato")</f>
        <v>41.860840600000003</v>
      </c>
      <c r="H85">
        <f>_xlfn.XLOOKUP(A85,[2]Sheet1!$A:$A,[2]Sheet1!$H:$H,"non trovato")</f>
        <v>12.4615081</v>
      </c>
    </row>
    <row r="86" spans="1:8" x14ac:dyDescent="0.25">
      <c r="A86" s="1" t="str">
        <v>500000066423</v>
      </c>
      <c r="B86" s="1" t="str">
        <f>_xlfn.XLOOKUP(A86,[1]!TabellaContenitori[PdR],[1]!TabellaContenitori[AET])</f>
        <v>FRATTINI</v>
      </c>
      <c r="C86" s="1" t="str">
        <f>_xlfn.XLOOKUP(A86,[1]!TabellaContenitori[PdR],[1]!TabellaContenitori[Numero civico])</f>
        <v>21</v>
      </c>
      <c r="D86" s="1" t="str">
        <f t="shared" si="2"/>
        <v>FRATTINI, 21, Roma</v>
      </c>
      <c r="E86" s="1" t="str">
        <f t="shared" si="3"/>
        <v>FRATTINI</v>
      </c>
      <c r="F86" s="1" t="str">
        <f>_xlfn.XLOOKUP(B86,[1]!Tabella_N_Assi[Indirizzo],[1]!Tabella_N_Assi[Tipo Mezzo Preferenziale],"non trovato")</f>
        <v>non trovato</v>
      </c>
      <c r="G86">
        <f>_xlfn.XLOOKUP(A86,[2]Sheet1!$A:$A,[2]Sheet1!$G:$G,"non trovato")</f>
        <v>41.855439699999998</v>
      </c>
      <c r="H86">
        <f>_xlfn.XLOOKUP(A86,[2]Sheet1!$A:$A,[2]Sheet1!$H:$H,"non trovato")</f>
        <v>12.4485481</v>
      </c>
    </row>
    <row r="87" spans="1:8" x14ac:dyDescent="0.25">
      <c r="A87" s="1" t="str">
        <v>500000160239</v>
      </c>
      <c r="B87" s="1" t="str">
        <f>_xlfn.XLOOKUP(A87,[1]!TabellaContenitori[PdR],[1]!TabellaContenitori[AET])</f>
        <v>FRATTINI</v>
      </c>
      <c r="C87" s="1" t="str">
        <f>_xlfn.XLOOKUP(A87,[1]!TabellaContenitori[PdR],[1]!TabellaContenitori[Numero civico])</f>
        <v>41</v>
      </c>
      <c r="D87" s="1" t="str">
        <f t="shared" si="2"/>
        <v>FRATTINI, 41, Roma</v>
      </c>
      <c r="E87" s="1" t="str">
        <f t="shared" si="3"/>
        <v>FRATTINI</v>
      </c>
      <c r="F87" s="1" t="str">
        <f>_xlfn.XLOOKUP(B87,[1]!Tabella_N_Assi[Indirizzo],[1]!Tabella_N_Assi[Tipo Mezzo Preferenziale],"non trovato")</f>
        <v>non trovato</v>
      </c>
      <c r="G87">
        <f>_xlfn.XLOOKUP(A87,[2]Sheet1!$A:$A,[2]Sheet1!$G:$G,"non trovato")</f>
        <v>41.849237199999997</v>
      </c>
      <c r="H87">
        <f>_xlfn.XLOOKUP(A87,[2]Sheet1!$A:$A,[2]Sheet1!$H:$H,"non trovato")</f>
        <v>12.4471019</v>
      </c>
    </row>
    <row r="88" spans="1:8" x14ac:dyDescent="0.25">
      <c r="A88" s="1" t="str">
        <v>500000086512</v>
      </c>
      <c r="B88" s="1" t="str">
        <f>_xlfn.XLOOKUP(A88,[1]!TabellaContenitori[PdR],[1]!TabellaContenitori[AET])</f>
        <v>VIGNA PIA</v>
      </c>
      <c r="C88" s="1" t="str">
        <f>_xlfn.XLOOKUP(A88,[1]!TabellaContenitori[PdR],[1]!TabellaContenitori[Numero civico])</f>
        <v>90</v>
      </c>
      <c r="D88" s="1" t="str">
        <f t="shared" si="2"/>
        <v>VIGNA PIA, 90, Roma</v>
      </c>
      <c r="E88" s="1" t="str">
        <f t="shared" si="3"/>
        <v>VIGNA PIA</v>
      </c>
      <c r="F88" s="1" t="str">
        <f>_xlfn.XLOOKUP(B88,[1]!Tabella_N_Assi[Indirizzo],[1]!Tabella_N_Assi[Tipo Mezzo Preferenziale],"non trovato")</f>
        <v>non trovato</v>
      </c>
      <c r="G88">
        <f>_xlfn.XLOOKUP(A88,[2]Sheet1!$A:$A,[2]Sheet1!$G:$G,"non trovato")</f>
        <v>41.862243599999999</v>
      </c>
      <c r="H88">
        <f>_xlfn.XLOOKUP(A88,[2]Sheet1!$A:$A,[2]Sheet1!$H:$H,"non trovato")</f>
        <v>12.460785599999999</v>
      </c>
    </row>
    <row r="89" spans="1:8" x14ac:dyDescent="0.25">
      <c r="A89" s="1" t="str">
        <v>500000058087</v>
      </c>
      <c r="B89" s="1" t="str">
        <f>_xlfn.XLOOKUP(A89,[1]!TabellaContenitori[PdR],[1]!TabellaContenitori[AET])</f>
        <v>VIGNA PIA</v>
      </c>
      <c r="C89" s="1" t="str">
        <f>_xlfn.XLOOKUP(A89,[1]!TabellaContenitori[PdR],[1]!TabellaContenitori[Numero civico])</f>
        <v>75</v>
      </c>
      <c r="D89" s="1" t="str">
        <f t="shared" si="2"/>
        <v>VIGNA PIA, 75, Roma</v>
      </c>
      <c r="E89" s="1" t="str">
        <f t="shared" si="3"/>
        <v>VIGNA PIA</v>
      </c>
      <c r="F89" s="1" t="str">
        <f>_xlfn.XLOOKUP(B89,[1]!Tabella_N_Assi[Indirizzo],[1]!Tabella_N_Assi[Tipo Mezzo Preferenziale],"non trovato")</f>
        <v>non trovato</v>
      </c>
      <c r="G89">
        <f>_xlfn.XLOOKUP(A89,[2]Sheet1!$A:$A,[2]Sheet1!$G:$G,"non trovato")</f>
        <v>41.862415599999999</v>
      </c>
      <c r="H89">
        <f>_xlfn.XLOOKUP(A89,[2]Sheet1!$A:$A,[2]Sheet1!$H:$H,"non trovato")</f>
        <v>12.4583496</v>
      </c>
    </row>
    <row r="90" spans="1:8" x14ac:dyDescent="0.25">
      <c r="A90" s="1" t="str">
        <v>500000068672</v>
      </c>
      <c r="B90" s="1" t="str">
        <f>_xlfn.XLOOKUP(A90,[1]!TabellaContenitori[PdR],[1]!TabellaContenitori[AET])</f>
        <v>VIGNA PIA</v>
      </c>
      <c r="C90" s="1" t="str">
        <f>_xlfn.XLOOKUP(A90,[1]!TabellaContenitori[PdR],[1]!TabellaContenitori[Numero civico])</f>
        <v>91</v>
      </c>
      <c r="D90" s="1" t="str">
        <f t="shared" si="2"/>
        <v>VIGNA PIA, 91, Roma</v>
      </c>
      <c r="E90" s="1" t="str">
        <f t="shared" si="3"/>
        <v>VIGNA PIA</v>
      </c>
      <c r="F90" s="1" t="str">
        <f>_xlfn.XLOOKUP(B90,[1]!Tabella_N_Assi[Indirizzo],[1]!Tabella_N_Assi[Tipo Mezzo Preferenziale],"non trovato")</f>
        <v>non trovato</v>
      </c>
      <c r="G90">
        <f>_xlfn.XLOOKUP(A90,[2]Sheet1!$A:$A,[2]Sheet1!$G:$G,"non trovato")</f>
        <v>41.860209099999999</v>
      </c>
      <c r="H90">
        <f>_xlfn.XLOOKUP(A90,[2]Sheet1!$A:$A,[2]Sheet1!$H:$H,"non trovato")</f>
        <v>12.458497100000001</v>
      </c>
    </row>
    <row r="91" spans="1:8" x14ac:dyDescent="0.25">
      <c r="A91" s="1" t="str">
        <v>500000056301</v>
      </c>
      <c r="B91" s="1" t="str">
        <f>_xlfn.XLOOKUP(A91,[1]!TabellaContenitori[PdR],[1]!TabellaContenitori[AET])</f>
        <v>PORTUENSE</v>
      </c>
      <c r="C91" s="1" t="str">
        <f>_xlfn.XLOOKUP(A91,[1]!TabellaContenitori[PdR],[1]!TabellaContenitori[Numero civico])</f>
        <v>54</v>
      </c>
      <c r="D91" s="1" t="str">
        <f t="shared" si="2"/>
        <v>PORTUENSE, 54, Roma</v>
      </c>
      <c r="E91" s="1" t="str">
        <f t="shared" si="3"/>
        <v>PORTUENSE</v>
      </c>
      <c r="F91" s="1" t="str">
        <f>_xlfn.XLOOKUP(B91,[1]!Tabella_N_Assi[Indirizzo],[1]!Tabella_N_Assi[Tipo Mezzo Preferenziale],"non trovato")</f>
        <v>non trovato</v>
      </c>
      <c r="G91">
        <f>_xlfn.XLOOKUP(A91,[2]Sheet1!$A:$A,[2]Sheet1!$G:$G,"non trovato")</f>
        <v>41.858873600000003</v>
      </c>
      <c r="H91">
        <f>_xlfn.XLOOKUP(A91,[2]Sheet1!$A:$A,[2]Sheet1!$H:$H,"non trovato")</f>
        <v>12.4541868</v>
      </c>
    </row>
    <row r="92" spans="1:8" x14ac:dyDescent="0.25">
      <c r="A92" s="1" t="str">
        <v>500000099772</v>
      </c>
      <c r="B92" s="1" t="str">
        <f>_xlfn.XLOOKUP(A92,[1]!TabellaContenitori[PdR],[1]!TabellaContenitori[AET])</f>
        <v>FRATTINI</v>
      </c>
      <c r="C92" s="1" t="str">
        <f>_xlfn.XLOOKUP(A92,[1]!TabellaContenitori[PdR],[1]!TabellaContenitori[Numero civico])</f>
        <v>45</v>
      </c>
      <c r="D92" s="1" t="str">
        <f t="shared" si="2"/>
        <v>FRATTINI, 45, Roma</v>
      </c>
      <c r="E92" s="1" t="str">
        <f t="shared" si="3"/>
        <v>FRATTINI</v>
      </c>
      <c r="F92" s="1" t="str">
        <f>_xlfn.XLOOKUP(B92,[1]!Tabella_N_Assi[Indirizzo],[1]!Tabella_N_Assi[Tipo Mezzo Preferenziale],"non trovato")</f>
        <v>non trovato</v>
      </c>
      <c r="G92">
        <f>_xlfn.XLOOKUP(A92,[2]Sheet1!$A:$A,[2]Sheet1!$G:$G,"non trovato")</f>
        <v>41.855813499999996</v>
      </c>
      <c r="H92">
        <f>_xlfn.XLOOKUP(A92,[2]Sheet1!$A:$A,[2]Sheet1!$H:$H,"non trovato")</f>
        <v>12.450601900000001</v>
      </c>
    </row>
    <row r="93" spans="1:8" x14ac:dyDescent="0.25">
      <c r="A93" s="1" t="str">
        <v>500000056299</v>
      </c>
      <c r="B93" s="1" t="str">
        <f>_xlfn.XLOOKUP(A93,[1]!TabellaContenitori[PdR],[1]!TabellaContenitori[AET])</f>
        <v>PORTUENSE</v>
      </c>
      <c r="C93" s="1" t="str">
        <f>_xlfn.XLOOKUP(A93,[1]!TabellaContenitori[PdR],[1]!TabellaContenitori[Numero civico])</f>
        <v>30</v>
      </c>
      <c r="D93" s="1" t="str">
        <f t="shared" si="2"/>
        <v>PORTUENSE, 30, Roma</v>
      </c>
      <c r="E93" s="1" t="str">
        <f t="shared" si="3"/>
        <v>PORTUENSE</v>
      </c>
      <c r="F93" s="1" t="str">
        <f>_xlfn.XLOOKUP(B93,[1]!Tabella_N_Assi[Indirizzo],[1]!Tabella_N_Assi[Tipo Mezzo Preferenziale],"non trovato")</f>
        <v>non trovato</v>
      </c>
      <c r="G93">
        <f>_xlfn.XLOOKUP(A93,[2]Sheet1!$A:$A,[2]Sheet1!$G:$G,"non trovato")</f>
        <v>41.858873600000003</v>
      </c>
      <c r="H93">
        <f>_xlfn.XLOOKUP(A93,[2]Sheet1!$A:$A,[2]Sheet1!$H:$H,"non trovato")</f>
        <v>12.4541868</v>
      </c>
    </row>
    <row r="94" spans="1:8" x14ac:dyDescent="0.25">
      <c r="A94" s="1" t="str">
        <v>500000047355</v>
      </c>
      <c r="B94" s="1" t="str">
        <f>_xlfn.XLOOKUP(A94,[1]!TabellaContenitori[PdR],[1]!TabellaContenitori[AET])</f>
        <v>FRATTINI</v>
      </c>
      <c r="C94" s="1" t="str">
        <f>_xlfn.XLOOKUP(A94,[1]!TabellaContenitori[PdR],[1]!TabellaContenitori[Numero civico])</f>
        <v>39</v>
      </c>
      <c r="D94" s="1" t="str">
        <f t="shared" si="2"/>
        <v>FRATTINI, 39, Roma</v>
      </c>
      <c r="E94" s="1" t="str">
        <f t="shared" si="3"/>
        <v>FRATTINI</v>
      </c>
      <c r="F94" s="1" t="str">
        <f>_xlfn.XLOOKUP(B94,[1]!Tabella_N_Assi[Indirizzo],[1]!Tabella_N_Assi[Tipo Mezzo Preferenziale],"non trovato")</f>
        <v>non trovato</v>
      </c>
      <c r="G94">
        <f>_xlfn.XLOOKUP(A94,[2]Sheet1!$A:$A,[2]Sheet1!$G:$G,"non trovato")</f>
        <v>41.849021700000002</v>
      </c>
      <c r="H94">
        <f>_xlfn.XLOOKUP(A94,[2]Sheet1!$A:$A,[2]Sheet1!$H:$H,"non trovato")</f>
        <v>12.450667899999999</v>
      </c>
    </row>
    <row r="95" spans="1:8" x14ac:dyDescent="0.25">
      <c r="A95" s="1" t="str">
        <v>500000058179</v>
      </c>
      <c r="B95" s="1" t="str">
        <f>_xlfn.XLOOKUP(A95,[1]!TabellaContenitori[PdR],[1]!TabellaContenitori[AET])</f>
        <v>FRATTINI</v>
      </c>
      <c r="C95" s="1" t="str">
        <f>_xlfn.XLOOKUP(A95,[1]!TabellaContenitori[PdR],[1]!TabellaContenitori[Numero civico])</f>
        <v>14</v>
      </c>
      <c r="D95" s="1" t="str">
        <f t="shared" si="2"/>
        <v>FRATTINI, 14, Roma</v>
      </c>
      <c r="E95" s="1" t="str">
        <f t="shared" si="3"/>
        <v>FRATTINI</v>
      </c>
      <c r="F95" s="1" t="str">
        <f>_xlfn.XLOOKUP(B95,[1]!Tabella_N_Assi[Indirizzo],[1]!Tabella_N_Assi[Tipo Mezzo Preferenziale],"non trovato")</f>
        <v>non trovato</v>
      </c>
      <c r="G95">
        <f>_xlfn.XLOOKUP(A95,[2]Sheet1!$A:$A,[2]Sheet1!$G:$G,"non trovato")</f>
        <v>41.855755100000003</v>
      </c>
      <c r="H95">
        <f>_xlfn.XLOOKUP(A95,[2]Sheet1!$A:$A,[2]Sheet1!$H:$H,"non trovato")</f>
        <v>12.4461976</v>
      </c>
    </row>
    <row r="96" spans="1:8" x14ac:dyDescent="0.25">
      <c r="A96" s="1" t="str">
        <v>500000056300</v>
      </c>
      <c r="B96" s="1" t="str">
        <f>_xlfn.XLOOKUP(A96,[1]!TabellaContenitori[PdR],[1]!TabellaContenitori[AET])</f>
        <v>PORTUENSE</v>
      </c>
      <c r="C96" s="1" t="str">
        <f>_xlfn.XLOOKUP(A96,[1]!TabellaContenitori[PdR],[1]!TabellaContenitori[Numero civico])</f>
        <v>41</v>
      </c>
      <c r="D96" s="1" t="str">
        <f t="shared" si="2"/>
        <v>PORTUENSE, 41, Roma</v>
      </c>
      <c r="E96" s="1" t="str">
        <f t="shared" si="3"/>
        <v>PORTUENSE</v>
      </c>
      <c r="F96" s="1" t="str">
        <f>_xlfn.XLOOKUP(B96,[1]!Tabella_N_Assi[Indirizzo],[1]!Tabella_N_Assi[Tipo Mezzo Preferenziale],"non trovato")</f>
        <v>non trovato</v>
      </c>
      <c r="G96">
        <f>_xlfn.XLOOKUP(A96,[2]Sheet1!$A:$A,[2]Sheet1!$G:$G,"non trovato")</f>
        <v>41.858873600000003</v>
      </c>
      <c r="H96">
        <f>_xlfn.XLOOKUP(A96,[2]Sheet1!$A:$A,[2]Sheet1!$H:$H,"non trovato")</f>
        <v>12.4541868</v>
      </c>
    </row>
    <row r="97" spans="1:8" x14ac:dyDescent="0.25">
      <c r="A97" s="1" t="str">
        <v>500000075901</v>
      </c>
      <c r="B97" s="1" t="str">
        <f>_xlfn.XLOOKUP(A97,[1]!TabellaContenitori[PdR],[1]!TabellaContenitori[AET])</f>
        <v>MAGLIANA</v>
      </c>
      <c r="C97" s="1" t="str">
        <f>_xlfn.XLOOKUP(A97,[1]!TabellaContenitori[PdR],[1]!TabellaContenitori[Numero civico])</f>
        <v>214</v>
      </c>
      <c r="D97" s="1" t="str">
        <f t="shared" si="2"/>
        <v>MAGLIANA, 214, Roma</v>
      </c>
      <c r="E97" s="1" t="str">
        <f t="shared" si="3"/>
        <v>MAGLIANA</v>
      </c>
      <c r="F97" s="1" t="str">
        <f>_xlfn.XLOOKUP(B97,[1]!Tabella_N_Assi[Indirizzo],[1]!Tabella_N_Assi[Tipo Mezzo Preferenziale],"non trovato")</f>
        <v>non trovato</v>
      </c>
      <c r="G97">
        <f>_xlfn.XLOOKUP(A97,[2]Sheet1!$A:$A,[2]Sheet1!$G:$G,"non trovato")</f>
        <v>41.821498800000001</v>
      </c>
      <c r="H97">
        <f>_xlfn.XLOOKUP(A97,[2]Sheet1!$A:$A,[2]Sheet1!$H:$H,"non trovato")</f>
        <v>12.394792799999999</v>
      </c>
    </row>
    <row r="98" spans="1:8" x14ac:dyDescent="0.25">
      <c r="A98" s="1" t="str">
        <v>500000110795</v>
      </c>
      <c r="B98" s="1" t="str">
        <f>_xlfn.XLOOKUP(A98,[1]!TabellaContenitori[PdR],[1]!TabellaContenitori[AET])</f>
        <v>MAGLIANA NUOVA</v>
      </c>
      <c r="C98" s="1" t="str">
        <f>_xlfn.XLOOKUP(A98,[1]!TabellaContenitori[PdR],[1]!TabellaContenitori[Numero civico])</f>
        <v>11</v>
      </c>
      <c r="D98" s="1" t="str">
        <f t="shared" si="2"/>
        <v>MAGLIANA NUOVA, 11, Roma</v>
      </c>
      <c r="E98" s="1" t="str">
        <f t="shared" si="3"/>
        <v>MAGLIANA NUOVA</v>
      </c>
      <c r="F98" s="1" t="str">
        <f>_xlfn.XLOOKUP(B98,[1]!Tabella_N_Assi[Indirizzo],[1]!Tabella_N_Assi[Tipo Mezzo Preferenziale],"non trovato")</f>
        <v>non trovato</v>
      </c>
      <c r="G98">
        <f>_xlfn.XLOOKUP(A98,[2]Sheet1!$A:$A,[2]Sheet1!$G:$G,"non trovato")</f>
        <v>41.848885099999997</v>
      </c>
      <c r="H98">
        <f>_xlfn.XLOOKUP(A98,[2]Sheet1!$A:$A,[2]Sheet1!$H:$H,"non trovato")</f>
        <v>12.4638267</v>
      </c>
    </row>
    <row r="99" spans="1:8" x14ac:dyDescent="0.25">
      <c r="A99" s="1" t="str">
        <v>500000034428</v>
      </c>
      <c r="B99" s="1" t="str">
        <f>_xlfn.XLOOKUP(A99,[1]!TabellaContenitori[PdR],[1]!TabellaContenitori[AET])</f>
        <v>MAGLIANA NUOVA</v>
      </c>
      <c r="C99" s="1" t="str">
        <f>_xlfn.XLOOKUP(A99,[1]!TabellaContenitori[PdR],[1]!TabellaContenitori[Numero civico])</f>
        <v>1</v>
      </c>
      <c r="D99" s="1" t="str">
        <f t="shared" si="2"/>
        <v>MAGLIANA NUOVA, 1, Roma</v>
      </c>
      <c r="E99" s="1" t="str">
        <f t="shared" si="3"/>
        <v>MAGLIANA NUOVA</v>
      </c>
      <c r="F99" s="1" t="str">
        <f>_xlfn.XLOOKUP(B99,[1]!Tabella_N_Assi[Indirizzo],[1]!Tabella_N_Assi[Tipo Mezzo Preferenziale],"non trovato")</f>
        <v>non trovato</v>
      </c>
      <c r="G99">
        <f>_xlfn.XLOOKUP(A99,[2]Sheet1!$A:$A,[2]Sheet1!$G:$G,"non trovato")</f>
        <v>41.8480366</v>
      </c>
      <c r="H99">
        <f>_xlfn.XLOOKUP(A99,[2]Sheet1!$A:$A,[2]Sheet1!$H:$H,"non trovato")</f>
        <v>12.462700699999999</v>
      </c>
    </row>
    <row r="100" spans="1:8" x14ac:dyDescent="0.25">
      <c r="A100" s="1" t="str">
        <v>500000160154</v>
      </c>
      <c r="B100" s="1" t="str">
        <f>_xlfn.XLOOKUP(A100,[1]!TabellaContenitori[PdR],[1]!TabellaContenitori[AET])</f>
        <v>PONTE GALERIA - PIANA DEL SOL</v>
      </c>
      <c r="C100" s="1" t="str">
        <f>_xlfn.XLOOKUP(A100,[1]!TabellaContenitori[PdR],[1]!TabellaContenitori[Numero civico])</f>
        <v>101</v>
      </c>
      <c r="D100" s="1" t="str">
        <f t="shared" si="2"/>
        <v>PONTE GALERIA - PIANA DEL SOL, 101, Roma</v>
      </c>
      <c r="E100" s="1" t="str">
        <f t="shared" si="3"/>
        <v>PONTE GALERIA - PIANA DEL SOL</v>
      </c>
      <c r="F100" s="1" t="str">
        <f>_xlfn.XLOOKUP(B100,[1]!Tabella_N_Assi[Indirizzo],[1]!Tabella_N_Assi[Tipo Mezzo Preferenziale],"non trovato")</f>
        <v>non trovato</v>
      </c>
      <c r="G100">
        <f>_xlfn.XLOOKUP(A100,[2]Sheet1!$A:$A,[2]Sheet1!$G:$G,"non trovato")</f>
        <v>41.832974800000002</v>
      </c>
      <c r="H100">
        <f>_xlfn.XLOOKUP(A100,[2]Sheet1!$A:$A,[2]Sheet1!$H:$H,"non trovato")</f>
        <v>12.411088599999999</v>
      </c>
    </row>
    <row r="101" spans="1:8" x14ac:dyDescent="0.25">
      <c r="A101" s="1" t="str">
        <v>500000107195</v>
      </c>
      <c r="B101" s="1" t="str">
        <f>_xlfn.XLOOKUP(A101,[1]!TabellaContenitori[PdR],[1]!TabellaContenitori[AET])</f>
        <v>TRULLO - MONTE CUCCO</v>
      </c>
      <c r="C101" s="1" t="str">
        <f>_xlfn.XLOOKUP(A101,[1]!TabellaContenitori[PdR],[1]!TabellaContenitori[Numero civico])</f>
        <v>31</v>
      </c>
      <c r="D101" s="1" t="str">
        <f t="shared" si="2"/>
        <v>TRULLO - MONTE CUCCO, 31, Roma</v>
      </c>
      <c r="E101" s="1" t="str">
        <f t="shared" si="3"/>
        <v>TRULLO - MONTE CUCCO</v>
      </c>
      <c r="F101" s="1" t="str">
        <f>_xlfn.XLOOKUP(B101,[1]!Tabella_N_Assi[Indirizzo],[1]!Tabella_N_Assi[Tipo Mezzo Preferenziale],"non trovato")</f>
        <v>non trovato</v>
      </c>
      <c r="G101">
        <f>_xlfn.XLOOKUP(A101,[2]Sheet1!$A:$A,[2]Sheet1!$G:$G,"non trovato")</f>
        <v>41.852133799999997</v>
      </c>
      <c r="H101">
        <f>_xlfn.XLOOKUP(A101,[2]Sheet1!$A:$A,[2]Sheet1!$H:$H,"non trovato")</f>
        <v>12.444683899999999</v>
      </c>
    </row>
    <row r="102" spans="1:8" x14ac:dyDescent="0.25">
      <c r="A102" s="1" t="str">
        <v>500000093867</v>
      </c>
      <c r="B102" s="1" t="str">
        <f>_xlfn.XLOOKUP(A102,[1]!TabellaContenitori[PdR],[1]!TabellaContenitori[AET])</f>
        <v>TRULLO - MONTE CUCCO</v>
      </c>
      <c r="C102" s="1" t="str">
        <f>_xlfn.XLOOKUP(A102,[1]!TabellaContenitori[PdR],[1]!TabellaContenitori[Numero civico])</f>
        <v>37</v>
      </c>
      <c r="D102" s="1" t="str">
        <f t="shared" si="2"/>
        <v>TRULLO - MONTE CUCCO, 37, Roma</v>
      </c>
      <c r="E102" s="1" t="str">
        <f t="shared" si="3"/>
        <v>TRULLO - MONTE CUCCO</v>
      </c>
      <c r="F102" s="1" t="str">
        <f>_xlfn.XLOOKUP(B102,[1]!Tabella_N_Assi[Indirizzo],[1]!Tabella_N_Assi[Tipo Mezzo Preferenziale],"non trovato")</f>
        <v>non trovato</v>
      </c>
      <c r="G102">
        <f>_xlfn.XLOOKUP(A102,[2]Sheet1!$A:$A,[2]Sheet1!$G:$G,"non trovato")</f>
        <v>41.842407199999997</v>
      </c>
      <c r="H102">
        <f>_xlfn.XLOOKUP(A102,[2]Sheet1!$A:$A,[2]Sheet1!$H:$H,"non trovato")</f>
        <v>12.440671</v>
      </c>
    </row>
    <row r="103" spans="1:8" x14ac:dyDescent="0.25">
      <c r="A103" s="1" t="str">
        <v>500000069426</v>
      </c>
      <c r="B103" s="1" t="str">
        <f>_xlfn.XLOOKUP(A103,[1]!TabellaContenitori[PdR],[1]!TabellaContenitori[AET])</f>
        <v>TRULLO - MONTE CUCCO</v>
      </c>
      <c r="C103" s="1" t="str">
        <f>_xlfn.XLOOKUP(A103,[1]!TabellaContenitori[PdR],[1]!TabellaContenitori[Numero civico])</f>
        <v>99999</v>
      </c>
      <c r="D103" s="1" t="str">
        <f t="shared" si="2"/>
        <v>TRULLO - MONTE CUCCO, 99999, Roma</v>
      </c>
      <c r="E103" s="1" t="str">
        <f t="shared" si="3"/>
        <v>TRULLO - MONTE CUCCO</v>
      </c>
      <c r="F103" s="1" t="str">
        <f>_xlfn.XLOOKUP(B103,[1]!Tabella_N_Assi[Indirizzo],[1]!Tabella_N_Assi[Tipo Mezzo Preferenziale],"non trovato")</f>
        <v>non trovato</v>
      </c>
      <c r="G103">
        <f>_xlfn.XLOOKUP(A103,[2]Sheet1!$A:$A,[2]Sheet1!$G:$G,"non trovato")</f>
        <v>41.848248189998998</v>
      </c>
      <c r="H103">
        <f>_xlfn.XLOOKUP(A103,[2]Sheet1!$A:$A,[2]Sheet1!$H:$H,"non trovato")</f>
        <v>12.4466479</v>
      </c>
    </row>
    <row r="104" spans="1:8" x14ac:dyDescent="0.25">
      <c r="A104" s="1" t="str">
        <v>500000063732</v>
      </c>
      <c r="B104" s="1" t="str">
        <f>_xlfn.XLOOKUP(A104,[1]!TabellaContenitori[PdR],[1]!TabellaContenitori[AET])</f>
        <v>TRULLO - MONTE CUCCO</v>
      </c>
      <c r="C104" s="1" t="str">
        <f>_xlfn.XLOOKUP(A104,[1]!TabellaContenitori[PdR],[1]!TabellaContenitori[Numero civico])</f>
        <v>56</v>
      </c>
      <c r="D104" s="1" t="str">
        <f t="shared" si="2"/>
        <v>TRULLO - MONTE CUCCO, 56, Roma</v>
      </c>
      <c r="E104" s="1" t="str">
        <f t="shared" si="3"/>
        <v>TRULLO - MONTE CUCCO</v>
      </c>
      <c r="F104" s="1" t="str">
        <f>_xlfn.XLOOKUP(B104,[1]!Tabella_N_Assi[Indirizzo],[1]!Tabella_N_Assi[Tipo Mezzo Preferenziale],"non trovato")</f>
        <v>non trovato</v>
      </c>
      <c r="G104">
        <f>_xlfn.XLOOKUP(A104,[2]Sheet1!$A:$A,[2]Sheet1!$G:$G,"non trovato")</f>
        <v>41.842198699999997</v>
      </c>
      <c r="H104">
        <f>_xlfn.XLOOKUP(A104,[2]Sheet1!$A:$A,[2]Sheet1!$H:$H,"non trovato")</f>
        <v>12.441648199999999</v>
      </c>
    </row>
    <row r="105" spans="1:8" x14ac:dyDescent="0.25">
      <c r="A105" s="1" t="str">
        <v>500000083030</v>
      </c>
      <c r="B105" s="1" t="str">
        <f>_xlfn.XLOOKUP(A105,[1]!TabellaContenitori[PdR],[1]!TabellaContenitori[AET])</f>
        <v>TRULLO - MONTE DELLE CAPRE</v>
      </c>
      <c r="C105" s="1" t="str">
        <f>_xlfn.XLOOKUP(A105,[1]!TabellaContenitori[PdR],[1]!TabellaContenitori[Numero civico])</f>
        <v>4</v>
      </c>
      <c r="D105" s="1" t="str">
        <f t="shared" si="2"/>
        <v>TRULLO - MONTE DELLE CAPRE, 4, Roma</v>
      </c>
      <c r="E105" s="1" t="str">
        <f t="shared" si="3"/>
        <v>TRULLO - MONTE DELLE CAPRE</v>
      </c>
      <c r="F105" s="1" t="str">
        <f>_xlfn.XLOOKUP(B105,[1]!Tabella_N_Assi[Indirizzo],[1]!Tabella_N_Assi[Tipo Mezzo Preferenziale],"non trovato")</f>
        <v>non trovato</v>
      </c>
      <c r="G105">
        <f>_xlfn.XLOOKUP(A105,[2]Sheet1!$A:$A,[2]Sheet1!$G:$G,"non trovato")</f>
        <v>41.845074400000001</v>
      </c>
      <c r="H105">
        <f>_xlfn.XLOOKUP(A105,[2]Sheet1!$A:$A,[2]Sheet1!$H:$H,"non trovato")</f>
        <v>12.4281592</v>
      </c>
    </row>
    <row r="106" spans="1:8" x14ac:dyDescent="0.25">
      <c r="A106" s="1" t="str">
        <v>500000135216</v>
      </c>
      <c r="B106" s="1" t="str">
        <f>_xlfn.XLOOKUP(A106,[1]!TabellaContenitori[PdR],[1]!TabellaContenitori[AET])</f>
        <v>TRULLO - MONTE DELLE CAPRE</v>
      </c>
      <c r="C106" s="1" t="str">
        <f>_xlfn.XLOOKUP(A106,[1]!TabellaContenitori[PdR],[1]!TabellaContenitori[Numero civico])</f>
        <v>13</v>
      </c>
      <c r="D106" s="1" t="str">
        <f t="shared" si="2"/>
        <v>TRULLO - MONTE DELLE CAPRE, 13, Roma</v>
      </c>
      <c r="E106" s="1" t="str">
        <f t="shared" si="3"/>
        <v>TRULLO - MONTE DELLE CAPRE</v>
      </c>
      <c r="F106" s="1" t="str">
        <f>_xlfn.XLOOKUP(B106,[1]!Tabella_N_Assi[Indirizzo],[1]!Tabella_N_Assi[Tipo Mezzo Preferenziale],"non trovato")</f>
        <v>non trovato</v>
      </c>
      <c r="G106">
        <f>_xlfn.XLOOKUP(A106,[2]Sheet1!$A:$A,[2]Sheet1!$G:$G,"non trovato")</f>
        <v>41.836607299999997</v>
      </c>
      <c r="H106">
        <f>_xlfn.XLOOKUP(A106,[2]Sheet1!$A:$A,[2]Sheet1!$H:$H,"non trovato")</f>
        <v>12.4284626</v>
      </c>
    </row>
    <row r="107" spans="1:8" x14ac:dyDescent="0.25">
      <c r="A107" s="1" t="str">
        <v>500000097857</v>
      </c>
      <c r="B107" s="1" t="str">
        <f>_xlfn.XLOOKUP(A107,[1]!TabellaContenitori[PdR],[1]!TabellaContenitori[AET])</f>
        <v>CORVIALE</v>
      </c>
      <c r="C107" s="1" t="str">
        <f>_xlfn.XLOOKUP(A107,[1]!TabellaContenitori[PdR],[1]!TabellaContenitori[Numero civico])</f>
        <v>716</v>
      </c>
      <c r="D107" s="1" t="str">
        <f t="shared" si="2"/>
        <v>CORVIALE, 716, Roma</v>
      </c>
      <c r="E107" s="1" t="str">
        <f t="shared" si="3"/>
        <v>CORVIALE</v>
      </c>
      <c r="F107" s="1" t="str">
        <f>_xlfn.XLOOKUP(B107,[1]!Tabella_N_Assi[Indirizzo],[1]!Tabella_N_Assi[Tipo Mezzo Preferenziale],"non trovato")</f>
        <v>non trovato</v>
      </c>
      <c r="G107">
        <f>_xlfn.XLOOKUP(A107,[2]Sheet1!$A:$A,[2]Sheet1!$G:$G,"non trovato")</f>
        <v>41.870518400000002</v>
      </c>
      <c r="H107">
        <f>_xlfn.XLOOKUP(A107,[2]Sheet1!$A:$A,[2]Sheet1!$H:$H,"non trovato")</f>
        <v>12.4653882</v>
      </c>
    </row>
    <row r="108" spans="1:8" x14ac:dyDescent="0.25">
      <c r="A108" s="1" t="str">
        <v>500000203600</v>
      </c>
      <c r="B108" s="1" t="str">
        <f>_xlfn.XLOOKUP(A108,[1]!TabellaContenitori[PdR],[1]!TabellaContenitori[AET])</f>
        <v>CASETTA MATTEI</v>
      </c>
      <c r="C108" s="1" t="str">
        <f>_xlfn.XLOOKUP(A108,[1]!TabellaContenitori[PdR],[1]!TabellaContenitori[Numero civico])</f>
        <v>440</v>
      </c>
      <c r="D108" s="1" t="str">
        <f t="shared" si="2"/>
        <v>CASETTA MATTEI, 440, Roma</v>
      </c>
      <c r="E108" s="1" t="str">
        <f t="shared" si="3"/>
        <v>CASETTA MATTEI</v>
      </c>
      <c r="F108" s="1" t="str">
        <f>_xlfn.XLOOKUP(B108,[1]!Tabella_N_Assi[Indirizzo],[1]!Tabella_N_Assi[Tipo Mezzo Preferenziale],"non trovato")</f>
        <v>non trovato</v>
      </c>
      <c r="G108">
        <f>_xlfn.XLOOKUP(A108,[2]Sheet1!$A:$A,[2]Sheet1!$G:$G,"non trovato")</f>
        <v>41.859758599999999</v>
      </c>
      <c r="H108">
        <f>_xlfn.XLOOKUP(A108,[2]Sheet1!$A:$A,[2]Sheet1!$H:$H,"non trovato")</f>
        <v>12.419367100000001</v>
      </c>
    </row>
    <row r="109" spans="1:8" x14ac:dyDescent="0.25">
      <c r="A109" s="1" t="str">
        <v>500000124515</v>
      </c>
      <c r="B109" s="1" t="str">
        <f>_xlfn.XLOOKUP(A109,[1]!TabellaContenitori[PdR],[1]!TabellaContenitori[AET])</f>
        <v>TRULLO - MONTE DELLE CAPRE</v>
      </c>
      <c r="C109" s="1" t="str">
        <f>_xlfn.XLOOKUP(A109,[1]!TabellaContenitori[PdR],[1]!TabellaContenitori[Numero civico])</f>
        <v>71</v>
      </c>
      <c r="D109" s="1" t="str">
        <f t="shared" si="2"/>
        <v>TRULLO - MONTE DELLE CAPRE, 71, Roma</v>
      </c>
      <c r="E109" s="1" t="str">
        <f t="shared" si="3"/>
        <v>TRULLO - MONTE DELLE CAPRE</v>
      </c>
      <c r="F109" s="1" t="str">
        <f>_xlfn.XLOOKUP(B109,[1]!Tabella_N_Assi[Indirizzo],[1]!Tabella_N_Assi[Tipo Mezzo Preferenziale],"non trovato")</f>
        <v>non trovato</v>
      </c>
      <c r="G109">
        <f>_xlfn.XLOOKUP(A109,[2]Sheet1!$A:$A,[2]Sheet1!$G:$G,"non trovato")</f>
        <v>41.836390000000002</v>
      </c>
      <c r="H109">
        <f>_xlfn.XLOOKUP(A109,[2]Sheet1!$A:$A,[2]Sheet1!$H:$H,"non trovato")</f>
        <v>12.421317</v>
      </c>
    </row>
    <row r="110" spans="1:8" x14ac:dyDescent="0.25">
      <c r="A110" s="1" t="str">
        <v>500000120336</v>
      </c>
      <c r="B110" s="1" t="str">
        <f>_xlfn.XLOOKUP(A110,[1]!TabellaContenitori[PdR],[1]!TabellaContenitori[AET])</f>
        <v>TRULLO - MONTE DELLE CAPRE</v>
      </c>
      <c r="C110" s="1" t="str">
        <f>_xlfn.XLOOKUP(A110,[1]!TabellaContenitori[PdR],[1]!TabellaContenitori[Numero civico])</f>
        <v>288</v>
      </c>
      <c r="D110" s="1" t="str">
        <f t="shared" si="2"/>
        <v>TRULLO - MONTE DELLE CAPRE, 288, Roma</v>
      </c>
      <c r="E110" s="1" t="str">
        <f t="shared" si="3"/>
        <v>TRULLO - MONTE DELLE CAPRE</v>
      </c>
      <c r="F110" s="1" t="str">
        <f>_xlfn.XLOOKUP(B110,[1]!Tabella_N_Assi[Indirizzo],[1]!Tabella_N_Assi[Tipo Mezzo Preferenziale],"non trovato")</f>
        <v>non trovato</v>
      </c>
      <c r="G110">
        <f>_xlfn.XLOOKUP(A110,[2]Sheet1!$A:$A,[2]Sheet1!$G:$G,"non trovato")</f>
        <v>41.8431517</v>
      </c>
      <c r="H110">
        <f>_xlfn.XLOOKUP(A110,[2]Sheet1!$A:$A,[2]Sheet1!$H:$H,"non trovato")</f>
        <v>12.436747499999999</v>
      </c>
    </row>
    <row r="111" spans="1:8" x14ac:dyDescent="0.25">
      <c r="A111" s="1" t="str">
        <v>500000203674</v>
      </c>
      <c r="B111" s="1" t="str">
        <f>_xlfn.XLOOKUP(A111,[1]!TabellaContenitori[PdR],[1]!TabellaContenitori[AET])</f>
        <v>CASETTA MATTEI</v>
      </c>
      <c r="C111" s="1" t="str">
        <f>_xlfn.XLOOKUP(A111,[1]!TabellaContenitori[PdR],[1]!TabellaContenitori[Numero civico])</f>
        <v>35</v>
      </c>
      <c r="D111" s="1" t="str">
        <f t="shared" si="2"/>
        <v>CASETTA MATTEI, 35, Roma</v>
      </c>
      <c r="E111" s="1" t="str">
        <f t="shared" si="3"/>
        <v>CASETTA MATTEI</v>
      </c>
      <c r="F111" s="1" t="str">
        <f>_xlfn.XLOOKUP(B111,[1]!Tabella_N_Assi[Indirizzo],[1]!Tabella_N_Assi[Tipo Mezzo Preferenziale],"non trovato")</f>
        <v>non trovato</v>
      </c>
      <c r="G111">
        <f>_xlfn.XLOOKUP(A111,[2]Sheet1!$A:$A,[2]Sheet1!$G:$G,"non trovato")</f>
        <v>41.858250499999997</v>
      </c>
      <c r="H111">
        <f>_xlfn.XLOOKUP(A111,[2]Sheet1!$A:$A,[2]Sheet1!$H:$H,"non trovato")</f>
        <v>12.417792800000001</v>
      </c>
    </row>
    <row r="112" spans="1:8" x14ac:dyDescent="0.25">
      <c r="A112" s="1" t="str">
        <v>500000038831</v>
      </c>
      <c r="B112" s="1" t="str">
        <f>_xlfn.XLOOKUP(A112,[1]!TabellaContenitori[PdR],[1]!TabellaContenitori[AET])</f>
        <v>TRULLO - MONTE DELLE CAPRE</v>
      </c>
      <c r="C112" s="1" t="str">
        <f>_xlfn.XLOOKUP(A112,[1]!TabellaContenitori[PdR],[1]!TabellaContenitori[Numero civico])</f>
        <v>22</v>
      </c>
      <c r="D112" s="1" t="str">
        <f t="shared" si="2"/>
        <v>TRULLO - MONTE DELLE CAPRE, 22, Roma</v>
      </c>
      <c r="E112" s="1" t="str">
        <f t="shared" si="3"/>
        <v>TRULLO - MONTE DELLE CAPRE</v>
      </c>
      <c r="F112" s="1" t="str">
        <f>_xlfn.XLOOKUP(B112,[1]!Tabella_N_Assi[Indirizzo],[1]!Tabella_N_Assi[Tipo Mezzo Preferenziale],"non trovato")</f>
        <v>non trovato</v>
      </c>
      <c r="G112">
        <f>_xlfn.XLOOKUP(A112,[2]Sheet1!$A:$A,[2]Sheet1!$G:$G,"non trovato")</f>
        <v>41.838455099999997</v>
      </c>
      <c r="H112">
        <f>_xlfn.XLOOKUP(A112,[2]Sheet1!$A:$A,[2]Sheet1!$H:$H,"non trovato")</f>
        <v>12.420400600000001</v>
      </c>
    </row>
    <row r="113" spans="1:8" x14ac:dyDescent="0.25">
      <c r="A113" s="1" t="str">
        <v>500000204239</v>
      </c>
      <c r="B113" s="1" t="str">
        <f>_xlfn.XLOOKUP(A113,[1]!TabellaContenitori[PdR],[1]!TabellaContenitori[AET])</f>
        <v>TRULLO - MONTE DELLE CAPRE</v>
      </c>
      <c r="C113" s="1" t="str">
        <f>_xlfn.XLOOKUP(A113,[1]!TabellaContenitori[PdR],[1]!TabellaContenitori[Numero civico])</f>
        <v>99999</v>
      </c>
      <c r="D113" s="1" t="str">
        <f t="shared" si="2"/>
        <v>TRULLO - MONTE DELLE CAPRE, 99999, Roma</v>
      </c>
      <c r="E113" s="1" t="str">
        <f t="shared" si="3"/>
        <v>TRULLO - MONTE DELLE CAPRE</v>
      </c>
      <c r="F113" s="1" t="str">
        <f>_xlfn.XLOOKUP(B113,[1]!Tabella_N_Assi[Indirizzo],[1]!Tabella_N_Assi[Tipo Mezzo Preferenziale],"non trovato")</f>
        <v>non trovato</v>
      </c>
      <c r="G113">
        <f>_xlfn.XLOOKUP(A113,[2]Sheet1!$A:$A,[2]Sheet1!$G:$G,"non trovato")</f>
        <v>41.837925400000003</v>
      </c>
      <c r="H113">
        <f>_xlfn.XLOOKUP(A113,[2]Sheet1!$A:$A,[2]Sheet1!$H:$H,"non trovato")</f>
        <v>12.4319752</v>
      </c>
    </row>
    <row r="114" spans="1:8" x14ac:dyDescent="0.25">
      <c r="A114" s="1" t="str">
        <v>500000134763</v>
      </c>
      <c r="B114" s="1" t="str">
        <f>_xlfn.XLOOKUP(A114,[1]!TabellaContenitori[PdR],[1]!TabellaContenitori[AET])</f>
        <v>TRULLO - MONTE DELLE CAPRE</v>
      </c>
      <c r="C114" s="1" t="str">
        <f>_xlfn.XLOOKUP(A114,[1]!TabellaContenitori[PdR],[1]!TabellaContenitori[Numero civico])</f>
        <v>97</v>
      </c>
      <c r="D114" s="1" t="str">
        <f t="shared" si="2"/>
        <v>TRULLO - MONTE DELLE CAPRE, 97, Roma</v>
      </c>
      <c r="E114" s="1" t="str">
        <f t="shared" si="3"/>
        <v>TRULLO - MONTE DELLE CAPRE</v>
      </c>
      <c r="F114" s="1" t="str">
        <f>_xlfn.XLOOKUP(B114,[1]!Tabella_N_Assi[Indirizzo],[1]!Tabella_N_Assi[Tipo Mezzo Preferenziale],"non trovato")</f>
        <v>non trovato</v>
      </c>
      <c r="G114">
        <f>_xlfn.XLOOKUP(A114,[2]Sheet1!$A:$A,[2]Sheet1!$G:$G,"non trovato")</f>
        <v>41.836736500000001</v>
      </c>
      <c r="H114">
        <f>_xlfn.XLOOKUP(A114,[2]Sheet1!$A:$A,[2]Sheet1!$H:$H,"non trovato")</f>
        <v>12.4262792</v>
      </c>
    </row>
    <row r="115" spans="1:8" x14ac:dyDescent="0.25">
      <c r="A115" s="1" t="str">
        <v>500000097884</v>
      </c>
      <c r="B115" s="1" t="str">
        <f>_xlfn.XLOOKUP(A115,[1]!TabellaContenitori[PdR],[1]!TabellaContenitori[AET])</f>
        <v>CORVIALE</v>
      </c>
      <c r="C115" s="1" t="str">
        <f>_xlfn.XLOOKUP(A115,[1]!TabellaContenitori[PdR],[1]!TabellaContenitori[Numero civico])</f>
        <v>824</v>
      </c>
      <c r="D115" s="1" t="str">
        <f t="shared" si="2"/>
        <v>CORVIALE, 824, Roma</v>
      </c>
      <c r="E115" s="1" t="str">
        <f t="shared" si="3"/>
        <v>CORVIALE</v>
      </c>
      <c r="F115" s="1" t="str">
        <f>_xlfn.XLOOKUP(B115,[1]!Tabella_N_Assi[Indirizzo],[1]!Tabella_N_Assi[Tipo Mezzo Preferenziale],"non trovato")</f>
        <v>non trovato</v>
      </c>
      <c r="G115">
        <f>_xlfn.XLOOKUP(A115,[2]Sheet1!$A:$A,[2]Sheet1!$G:$G,"non trovato")</f>
        <v>41.870518400000002</v>
      </c>
      <c r="H115">
        <f>_xlfn.XLOOKUP(A115,[2]Sheet1!$A:$A,[2]Sheet1!$H:$H,"non trovato")</f>
        <v>12.4653882</v>
      </c>
    </row>
    <row r="116" spans="1:8" x14ac:dyDescent="0.25">
      <c r="A116" s="1" t="str">
        <v>500000097869</v>
      </c>
      <c r="B116" s="1" t="str">
        <f>_xlfn.XLOOKUP(A116,[1]!TabellaContenitori[PdR],[1]!TabellaContenitori[AET])</f>
        <v>CORVIALE</v>
      </c>
      <c r="C116" s="1" t="str">
        <f>_xlfn.XLOOKUP(A116,[1]!TabellaContenitori[PdR],[1]!TabellaContenitori[Numero civico])</f>
        <v>745</v>
      </c>
      <c r="D116" s="1" t="str">
        <f t="shared" si="2"/>
        <v>CORVIALE, 745, Roma</v>
      </c>
      <c r="E116" s="1" t="str">
        <f t="shared" si="3"/>
        <v>CORVIALE</v>
      </c>
      <c r="F116" s="1" t="str">
        <f>_xlfn.XLOOKUP(B116,[1]!Tabella_N_Assi[Indirizzo],[1]!Tabella_N_Assi[Tipo Mezzo Preferenziale],"non trovato")</f>
        <v>non trovato</v>
      </c>
      <c r="G116">
        <f>_xlfn.XLOOKUP(A116,[2]Sheet1!$A:$A,[2]Sheet1!$G:$G,"non trovato")</f>
        <v>41.870518400000002</v>
      </c>
      <c r="H116">
        <f>_xlfn.XLOOKUP(A116,[2]Sheet1!$A:$A,[2]Sheet1!$H:$H,"non trovato")</f>
        <v>12.4653882</v>
      </c>
    </row>
    <row r="117" spans="1:8" x14ac:dyDescent="0.25">
      <c r="A117" s="1" t="str">
        <v>500000177647</v>
      </c>
      <c r="B117" s="1" t="str">
        <f>_xlfn.XLOOKUP(A117,[1]!TabellaContenitori[PdR],[1]!TabellaContenitori[AET])</f>
        <v>CORVIALE</v>
      </c>
      <c r="C117" s="1" t="str">
        <f>_xlfn.XLOOKUP(A117,[1]!TabellaContenitori[PdR],[1]!TabellaContenitori[Numero civico])</f>
        <v>21</v>
      </c>
      <c r="D117" s="1" t="str">
        <f t="shared" si="2"/>
        <v>CORVIALE, 21, Roma</v>
      </c>
      <c r="E117" s="1" t="str">
        <f t="shared" si="3"/>
        <v>CORVIALE</v>
      </c>
      <c r="F117" s="1" t="str">
        <f>_xlfn.XLOOKUP(B117,[1]!Tabella_N_Assi[Indirizzo],[1]!Tabella_N_Assi[Tipo Mezzo Preferenziale],"non trovato")</f>
        <v>non trovato</v>
      </c>
      <c r="G117">
        <f>_xlfn.XLOOKUP(A117,[2]Sheet1!$A:$A,[2]Sheet1!$G:$G,"non trovato")</f>
        <v>41.855792200000003</v>
      </c>
      <c r="H117">
        <f>_xlfn.XLOOKUP(A117,[2]Sheet1!$A:$A,[2]Sheet1!$H:$H,"non trovato")</f>
        <v>12.4143522</v>
      </c>
    </row>
    <row r="118" spans="1:8" x14ac:dyDescent="0.25">
      <c r="A118" s="1" t="str">
        <v>500000205370</v>
      </c>
      <c r="B118" s="1" t="str">
        <f>_xlfn.XLOOKUP(A118,[1]!TabellaContenitori[PdR],[1]!TabellaContenitori[AET])</f>
        <v>FERMI</v>
      </c>
      <c r="C118" s="1" t="str">
        <f>_xlfn.XLOOKUP(A118,[1]!TabellaContenitori[PdR],[1]!TabellaContenitori[Numero civico])</f>
        <v>74</v>
      </c>
      <c r="D118" s="1" t="str">
        <f t="shared" si="2"/>
        <v>FERMI, 74, Roma</v>
      </c>
      <c r="E118" s="1" t="str">
        <f t="shared" si="3"/>
        <v>FERMI</v>
      </c>
      <c r="F118" s="1" t="str">
        <f>_xlfn.XLOOKUP(B118,[1]!Tabella_N_Assi[Indirizzo],[1]!Tabella_N_Assi[Tipo Mezzo Preferenziale],"non trovato")</f>
        <v>non trovato</v>
      </c>
      <c r="G118">
        <f>_xlfn.XLOOKUP(A118,[2]Sheet1!$A:$A,[2]Sheet1!$G:$G,"non trovato")</f>
        <v>41.867367600000001</v>
      </c>
      <c r="H118">
        <f>_xlfn.XLOOKUP(A118,[2]Sheet1!$A:$A,[2]Sheet1!$H:$H,"non trovato")</f>
        <v>12.471613400000001</v>
      </c>
    </row>
    <row r="119" spans="1:8" x14ac:dyDescent="0.25">
      <c r="A119" s="1" t="str">
        <v>500000205655</v>
      </c>
      <c r="B119" s="1" t="str">
        <f>_xlfn.XLOOKUP(A119,[1]!TabellaContenitori[PdR],[1]!TabellaContenitori[AET])</f>
        <v>PORTUENSE</v>
      </c>
      <c r="C119" s="1" t="str">
        <f>_xlfn.XLOOKUP(A119,[1]!TabellaContenitori[PdR],[1]!TabellaContenitori[Numero civico])</f>
        <v>13</v>
      </c>
      <c r="D119" s="1" t="str">
        <f t="shared" si="2"/>
        <v>PORTUENSE, 13, Roma</v>
      </c>
      <c r="E119" s="1" t="str">
        <f t="shared" si="3"/>
        <v>PORTUENSE</v>
      </c>
      <c r="F119" s="1" t="str">
        <f>_xlfn.XLOOKUP(B119,[1]!Tabella_N_Assi[Indirizzo],[1]!Tabella_N_Assi[Tipo Mezzo Preferenziale],"non trovato")</f>
        <v>non trovato</v>
      </c>
      <c r="G119">
        <f>_xlfn.XLOOKUP(A119,[2]Sheet1!$A:$A,[2]Sheet1!$G:$G,"non trovato")</f>
        <v>41.857723200000002</v>
      </c>
      <c r="H119">
        <f>_xlfn.XLOOKUP(A119,[2]Sheet1!$A:$A,[2]Sheet1!$H:$H,"non trovato")</f>
        <v>12.450469</v>
      </c>
    </row>
    <row r="120" spans="1:8" x14ac:dyDescent="0.25">
      <c r="A120" s="1" t="str">
        <v>500000054488</v>
      </c>
      <c r="B120" s="1" t="str">
        <f>_xlfn.XLOOKUP(A120,[1]!TabellaContenitori[PdR],[1]!TabellaContenitori[AET])</f>
        <v>PISANA - PORTUENSE</v>
      </c>
      <c r="C120" s="1" t="str">
        <f>_xlfn.XLOOKUP(A120,[1]!TabellaContenitori[PdR],[1]!TabellaContenitori[Numero civico])</f>
        <v>12</v>
      </c>
      <c r="D120" s="1" t="str">
        <f t="shared" si="2"/>
        <v>PISANA - PORTUENSE, 12, Roma</v>
      </c>
      <c r="E120" s="1" t="str">
        <f t="shared" si="3"/>
        <v>PISANA - PORTUENSE</v>
      </c>
      <c r="F120" s="1" t="str">
        <f>_xlfn.XLOOKUP(B120,[1]!Tabella_N_Assi[Indirizzo],[1]!Tabella_N_Assi[Tipo Mezzo Preferenziale],"non trovato")</f>
        <v>non trovato</v>
      </c>
      <c r="G120">
        <f>_xlfn.XLOOKUP(A120,[2]Sheet1!$A:$A,[2]Sheet1!$G:$G,"non trovato")</f>
        <v>41.838689899999999</v>
      </c>
      <c r="H120">
        <f>_xlfn.XLOOKUP(A120,[2]Sheet1!$A:$A,[2]Sheet1!$H:$H,"non trovato")</f>
        <v>12.414474800000001</v>
      </c>
    </row>
    <row r="121" spans="1:8" x14ac:dyDescent="0.25">
      <c r="A121" s="1" t="str">
        <v>500000075992</v>
      </c>
      <c r="B121" s="1" t="str">
        <f>_xlfn.XLOOKUP(A121,[1]!TabellaContenitori[PdR],[1]!TabellaContenitori[AET])</f>
        <v>PONTE GALERIA - PIANA DEL SOL</v>
      </c>
      <c r="C121" s="1" t="str">
        <f>_xlfn.XLOOKUP(A121,[1]!TabellaContenitori[PdR],[1]!TabellaContenitori[Numero civico])</f>
        <v>856</v>
      </c>
      <c r="D121" s="1" t="str">
        <f t="shared" si="2"/>
        <v>PONTE GALERIA - PIANA DEL SOL, 856, Roma</v>
      </c>
      <c r="E121" s="1" t="str">
        <f t="shared" si="3"/>
        <v>PONTE GALERIA - PIANA DEL SOL</v>
      </c>
      <c r="F121" s="1" t="str">
        <f>_xlfn.XLOOKUP(B121,[1]!Tabella_N_Assi[Indirizzo],[1]!Tabella_N_Assi[Tipo Mezzo Preferenziale],"non trovato")</f>
        <v>non trovato</v>
      </c>
      <c r="G121">
        <f>_xlfn.XLOOKUP(A121,[2]Sheet1!$A:$A,[2]Sheet1!$G:$G,"non trovato")</f>
        <v>41.821498800000001</v>
      </c>
      <c r="H121">
        <f>_xlfn.XLOOKUP(A121,[2]Sheet1!$A:$A,[2]Sheet1!$H:$H,"non trovato")</f>
        <v>12.394792799999999</v>
      </c>
    </row>
    <row r="122" spans="1:8" x14ac:dyDescent="0.25">
      <c r="A122" s="1" t="str">
        <v>500000016714</v>
      </c>
      <c r="B122" s="1" t="str">
        <f>_xlfn.XLOOKUP(A122,[1]!TabellaContenitori[PdR],[1]!TabellaContenitori[AET])</f>
        <v>MARCONI</v>
      </c>
      <c r="C122" s="1" t="str">
        <f>_xlfn.XLOOKUP(A122,[1]!TabellaContenitori[PdR],[1]!TabellaContenitori[Numero civico])</f>
        <v>33</v>
      </c>
      <c r="D122" s="1" t="str">
        <f t="shared" si="2"/>
        <v>MARCONI, 33, Roma</v>
      </c>
      <c r="E122" s="1" t="str">
        <f t="shared" si="3"/>
        <v>MARCONI</v>
      </c>
      <c r="F122" s="1" t="str">
        <f>_xlfn.XLOOKUP(B122,[1]!Tabella_N_Assi[Indirizzo],[1]!Tabella_N_Assi[Tipo Mezzo Preferenziale],"non trovato")</f>
        <v>non trovato</v>
      </c>
      <c r="G122">
        <f>_xlfn.XLOOKUP(A122,[2]Sheet1!$A:$A,[2]Sheet1!$G:$G,"non trovato")</f>
        <v>41.8621853</v>
      </c>
      <c r="H122">
        <f>_xlfn.XLOOKUP(A122,[2]Sheet1!$A:$A,[2]Sheet1!$H:$H,"non trovato")</f>
        <v>12.4689797</v>
      </c>
    </row>
    <row r="123" spans="1:8" x14ac:dyDescent="0.25">
      <c r="A123" s="1" t="str">
        <v>500000265413</v>
      </c>
      <c r="B123" s="1" t="str">
        <f>_xlfn.XLOOKUP(A123,[1]!TabellaContenitori[PdR],[1]!TabellaContenitori[AET])</f>
        <v>CORVIALE</v>
      </c>
      <c r="C123" s="1" t="str">
        <f>_xlfn.XLOOKUP(A123,[1]!TabellaContenitori[PdR],[1]!TabellaContenitori[Numero civico])</f>
        <v>78</v>
      </c>
      <c r="D123" s="1" t="str">
        <f t="shared" si="2"/>
        <v>CORVIALE, 78, Roma</v>
      </c>
      <c r="E123" s="1" t="str">
        <f t="shared" si="3"/>
        <v>CORVIALE</v>
      </c>
      <c r="F123" s="1" t="str">
        <f>_xlfn.XLOOKUP(B123,[1]!Tabella_N_Assi[Indirizzo],[1]!Tabella_N_Assi[Tipo Mezzo Preferenziale],"non trovato")</f>
        <v>non trovato</v>
      </c>
      <c r="G123">
        <f>_xlfn.XLOOKUP(A123,[2]Sheet1!$A:$A,[2]Sheet1!$G:$G,"non trovato")</f>
        <v>41.851454799999999</v>
      </c>
      <c r="H123">
        <f>_xlfn.XLOOKUP(A123,[2]Sheet1!$A:$A,[2]Sheet1!$H:$H,"non trovato")</f>
        <v>12.4193654</v>
      </c>
    </row>
    <row r="124" spans="1:8" x14ac:dyDescent="0.25">
      <c r="A124" s="1" t="str">
        <v>500000205635</v>
      </c>
      <c r="B124" s="1" t="str">
        <f>_xlfn.XLOOKUP(A124,[1]!TabellaContenitori[PdR],[1]!TabellaContenitori[AET])</f>
        <v>PORTUENSE</v>
      </c>
      <c r="C124" s="1" t="str">
        <f>_xlfn.XLOOKUP(A124,[1]!TabellaContenitori[PdR],[1]!TabellaContenitori[Numero civico])</f>
        <v>79</v>
      </c>
      <c r="D124" s="1" t="str">
        <f t="shared" si="2"/>
        <v>PORTUENSE, 79, Roma</v>
      </c>
      <c r="E124" s="1" t="str">
        <f t="shared" si="3"/>
        <v>PORTUENSE</v>
      </c>
      <c r="F124" s="1" t="str">
        <f>_xlfn.XLOOKUP(B124,[1]!Tabella_N_Assi[Indirizzo],[1]!Tabella_N_Assi[Tipo Mezzo Preferenziale],"non trovato")</f>
        <v>non trovato</v>
      </c>
      <c r="G124">
        <f>_xlfn.XLOOKUP(A124,[2]Sheet1!$A:$A,[2]Sheet1!$G:$G,"non trovato")</f>
        <v>41.870657799999996</v>
      </c>
      <c r="H124">
        <f>_xlfn.XLOOKUP(A124,[2]Sheet1!$A:$A,[2]Sheet1!$H:$H,"non trovato")</f>
        <v>12.4618869</v>
      </c>
    </row>
    <row r="125" spans="1:8" x14ac:dyDescent="0.25">
      <c r="A125" s="1" t="str">
        <v>500000068605</v>
      </c>
      <c r="B125" s="1" t="str">
        <f>_xlfn.XLOOKUP(A125,[1]!TabellaContenitori[PdR],[1]!TabellaContenitori[AET])</f>
        <v>MARCONI</v>
      </c>
      <c r="C125" s="1" t="str">
        <f>_xlfn.XLOOKUP(A125,[1]!TabellaContenitori[PdR],[1]!TabellaContenitori[Numero civico])</f>
        <v>245</v>
      </c>
      <c r="D125" s="1" t="str">
        <f t="shared" si="2"/>
        <v>MARCONI, 245, Roma</v>
      </c>
      <c r="E125" s="1" t="str">
        <f t="shared" si="3"/>
        <v>MARCONI</v>
      </c>
      <c r="F125" s="1" t="str">
        <f>_xlfn.XLOOKUP(B125,[1]!Tabella_N_Assi[Indirizzo],[1]!Tabella_N_Assi[Tipo Mezzo Preferenziale],"non trovato")</f>
        <v>non trovato</v>
      </c>
      <c r="G125">
        <f>_xlfn.XLOOKUP(A125,[2]Sheet1!$A:$A,[2]Sheet1!$G:$G,"non trovato")</f>
        <v>41.863422300000003</v>
      </c>
      <c r="H125">
        <f>_xlfn.XLOOKUP(A125,[2]Sheet1!$A:$A,[2]Sheet1!$H:$H,"non trovato")</f>
        <v>12.4697491</v>
      </c>
    </row>
    <row r="126" spans="1:8" x14ac:dyDescent="0.25">
      <c r="A126" s="1" t="str">
        <v>500000094006</v>
      </c>
      <c r="B126" s="1" t="str">
        <f>_xlfn.XLOOKUP(A126,[1]!TabellaContenitori[PdR],[1]!TabellaContenitori[AET])</f>
        <v>FERMI</v>
      </c>
      <c r="C126" s="1" t="str">
        <f>_xlfn.XLOOKUP(A126,[1]!TabellaContenitori[PdR],[1]!TabellaContenitori[Numero civico])</f>
        <v>95</v>
      </c>
      <c r="D126" s="1" t="str">
        <f t="shared" si="2"/>
        <v>FERMI, 95, Roma</v>
      </c>
      <c r="E126" s="1" t="str">
        <f t="shared" si="3"/>
        <v>FERMI</v>
      </c>
      <c r="F126" s="1" t="str">
        <f>_xlfn.XLOOKUP(B126,[1]!Tabella_N_Assi[Indirizzo],[1]!Tabella_N_Assi[Tipo Mezzo Preferenziale],"non trovato")</f>
        <v>non trovato</v>
      </c>
      <c r="G126">
        <f>_xlfn.XLOOKUP(A126,[2]Sheet1!$A:$A,[2]Sheet1!$G:$G,"non trovato")</f>
        <v>41.865532999999999</v>
      </c>
      <c r="H126">
        <f>_xlfn.XLOOKUP(A126,[2]Sheet1!$A:$A,[2]Sheet1!$H:$H,"non trovato")</f>
        <v>12.4750234</v>
      </c>
    </row>
    <row r="127" spans="1:8" x14ac:dyDescent="0.25">
      <c r="A127" s="1" t="str">
        <v>500000068587</v>
      </c>
      <c r="B127" s="1" t="str">
        <f>_xlfn.XLOOKUP(A127,[1]!TabellaContenitori[PdR],[1]!TabellaContenitori[AET])</f>
        <v>MARCONI</v>
      </c>
      <c r="C127" s="1" t="str">
        <f>_xlfn.XLOOKUP(A127,[1]!TabellaContenitori[PdR],[1]!TabellaContenitori[Numero civico])</f>
        <v>61</v>
      </c>
      <c r="D127" s="1" t="str">
        <f t="shared" si="2"/>
        <v>MARCONI, 61, Roma</v>
      </c>
      <c r="E127" s="1" t="str">
        <f t="shared" si="3"/>
        <v>MARCONI</v>
      </c>
      <c r="F127" s="1" t="str">
        <f>_xlfn.XLOOKUP(B127,[1]!Tabella_N_Assi[Indirizzo],[1]!Tabella_N_Assi[Tipo Mezzo Preferenziale],"non trovato")</f>
        <v>non trovato</v>
      </c>
      <c r="G127">
        <f>_xlfn.XLOOKUP(A127,[2]Sheet1!$A:$A,[2]Sheet1!$G:$G,"non trovato")</f>
        <v>41.8681999</v>
      </c>
      <c r="H127">
        <f>_xlfn.XLOOKUP(A127,[2]Sheet1!$A:$A,[2]Sheet1!$H:$H,"non trovato")</f>
        <v>12.4683993</v>
      </c>
    </row>
    <row r="128" spans="1:8" x14ac:dyDescent="0.25">
      <c r="A128" s="1" t="str">
        <v>500000047229</v>
      </c>
      <c r="B128" s="1" t="str">
        <f>_xlfn.XLOOKUP(A128,[1]!TabellaContenitori[PdR],[1]!TabellaContenitori[AET])</f>
        <v>FERMI</v>
      </c>
      <c r="C128" s="1" t="str">
        <f>_xlfn.XLOOKUP(A128,[1]!TabellaContenitori[PdR],[1]!TabellaContenitori[Numero civico])</f>
        <v>99</v>
      </c>
      <c r="D128" s="1" t="str">
        <f t="shared" si="2"/>
        <v>FERMI, 99, Roma</v>
      </c>
      <c r="E128" s="1" t="str">
        <f t="shared" si="3"/>
        <v>FERMI</v>
      </c>
      <c r="F128" s="1" t="str">
        <f>_xlfn.XLOOKUP(B128,[1]!Tabella_N_Assi[Indirizzo],[1]!Tabella_N_Assi[Tipo Mezzo Preferenziale],"non trovato")</f>
        <v>non trovato</v>
      </c>
      <c r="G128">
        <f>_xlfn.XLOOKUP(A128,[2]Sheet1!$A:$A,[2]Sheet1!$G:$G,"non trovato")</f>
        <v>41.864571099999999</v>
      </c>
      <c r="H128">
        <f>_xlfn.XLOOKUP(A128,[2]Sheet1!$A:$A,[2]Sheet1!$H:$H,"non trovato")</f>
        <v>12.472239800000001</v>
      </c>
    </row>
    <row r="129" spans="1:8" x14ac:dyDescent="0.25">
      <c r="A129" s="1" t="str">
        <v>500000055980</v>
      </c>
      <c r="B129" s="1" t="str">
        <f>_xlfn.XLOOKUP(A129,[1]!TabellaContenitori[PdR],[1]!TabellaContenitori[AET])</f>
        <v>ODERISI DA GUBBIO</v>
      </c>
      <c r="C129" s="1" t="str">
        <f>_xlfn.XLOOKUP(A129,[1]!TabellaContenitori[PdR],[1]!TabellaContenitori[Numero civico])</f>
        <v>75</v>
      </c>
      <c r="D129" s="1" t="str">
        <f t="shared" si="2"/>
        <v>ODERISI DA GUBBIO, 75, Roma</v>
      </c>
      <c r="E129" s="1" t="str">
        <f t="shared" si="3"/>
        <v>ODERISI DA GUBBIO</v>
      </c>
      <c r="F129" s="1" t="str">
        <f>_xlfn.XLOOKUP(B129,[1]!Tabella_N_Assi[Indirizzo],[1]!Tabella_N_Assi[Tipo Mezzo Preferenziale],"non trovato")</f>
        <v>non trovato</v>
      </c>
      <c r="G129">
        <f>_xlfn.XLOOKUP(A129,[2]Sheet1!$A:$A,[2]Sheet1!$G:$G,"non trovato")</f>
        <v>41.864790599999999</v>
      </c>
      <c r="H129">
        <f>_xlfn.XLOOKUP(A129,[2]Sheet1!$A:$A,[2]Sheet1!$H:$H,"non trovato")</f>
        <v>12.4679225</v>
      </c>
    </row>
    <row r="130" spans="1:8" x14ac:dyDescent="0.25">
      <c r="A130" s="1" t="str">
        <v>500000047133</v>
      </c>
      <c r="B130" s="1" t="str">
        <f>_xlfn.XLOOKUP(A130,[1]!TabellaContenitori[PdR],[1]!TabellaContenitori[AET])</f>
        <v>VIGNA PIA</v>
      </c>
      <c r="C130" s="1" t="str">
        <f>_xlfn.XLOOKUP(A130,[1]!TabellaContenitori[PdR],[1]!TabellaContenitori[Numero civico])</f>
        <v>93</v>
      </c>
      <c r="D130" s="1" t="str">
        <f t="shared" si="2"/>
        <v>VIGNA PIA, 93, Roma</v>
      </c>
      <c r="E130" s="1" t="str">
        <f t="shared" si="3"/>
        <v>VIGNA PIA</v>
      </c>
      <c r="F130" s="1" t="str">
        <f>_xlfn.XLOOKUP(B130,[1]!Tabella_N_Assi[Indirizzo],[1]!Tabella_N_Assi[Tipo Mezzo Preferenziale],"non trovato")</f>
        <v>non trovato</v>
      </c>
      <c r="G130">
        <f>_xlfn.XLOOKUP(A130,[2]Sheet1!$A:$A,[2]Sheet1!$G:$G,"non trovato")</f>
        <v>41.859523299999999</v>
      </c>
      <c r="H130">
        <f>_xlfn.XLOOKUP(A130,[2]Sheet1!$A:$A,[2]Sheet1!$H:$H,"non trovato")</f>
        <v>12.4548323</v>
      </c>
    </row>
    <row r="131" spans="1:8" x14ac:dyDescent="0.25">
      <c r="A131" s="1" t="str">
        <v>500000160239</v>
      </c>
      <c r="B131" s="1" t="str">
        <f>_xlfn.XLOOKUP(A131,[1]!TabellaContenitori[PdR],[1]!TabellaContenitori[AET])</f>
        <v>FRATTINI</v>
      </c>
      <c r="C131" s="1" t="str">
        <f>_xlfn.XLOOKUP(A131,[1]!TabellaContenitori[PdR],[1]!TabellaContenitori[Numero civico])</f>
        <v>41</v>
      </c>
      <c r="D131" s="1" t="str">
        <f t="shared" ref="D131:D194" si="4">CONCATENATE(B131,", ",C131,", Roma")</f>
        <v>FRATTINI, 41, Roma</v>
      </c>
      <c r="E131" s="1" t="str">
        <f t="shared" ref="E131:E194" si="5">_xlfn.TEXTBEFORE(D131,",")</f>
        <v>FRATTINI</v>
      </c>
      <c r="F131" s="1" t="str">
        <f>_xlfn.XLOOKUP(B131,[1]!Tabella_N_Assi[Indirizzo],[1]!Tabella_N_Assi[Tipo Mezzo Preferenziale],"non trovato")</f>
        <v>non trovato</v>
      </c>
      <c r="G131">
        <f>_xlfn.XLOOKUP(A131,[2]Sheet1!$A:$A,[2]Sheet1!$G:$G,"non trovato")</f>
        <v>41.849237199999997</v>
      </c>
      <c r="H131">
        <f>_xlfn.XLOOKUP(A131,[2]Sheet1!$A:$A,[2]Sheet1!$H:$H,"non trovato")</f>
        <v>12.4471019</v>
      </c>
    </row>
    <row r="132" spans="1:8" x14ac:dyDescent="0.25">
      <c r="A132" s="1" t="str">
        <v>500000093873</v>
      </c>
      <c r="B132" s="1" t="str">
        <f>_xlfn.XLOOKUP(A132,[1]!TabellaContenitori[PdR],[1]!TabellaContenitori[AET])</f>
        <v>FRATTINI</v>
      </c>
      <c r="C132" s="1" t="str">
        <f>_xlfn.XLOOKUP(A132,[1]!TabellaContenitori[PdR],[1]!TabellaContenitori[Numero civico])</f>
        <v>38</v>
      </c>
      <c r="D132" s="1" t="str">
        <f t="shared" si="4"/>
        <v>FRATTINI, 38, Roma</v>
      </c>
      <c r="E132" s="1" t="str">
        <f t="shared" si="5"/>
        <v>FRATTINI</v>
      </c>
      <c r="F132" s="1" t="str">
        <f>_xlfn.XLOOKUP(B132,[1]!Tabella_N_Assi[Indirizzo],[1]!Tabella_N_Assi[Tipo Mezzo Preferenziale],"non trovato")</f>
        <v>non trovato</v>
      </c>
      <c r="G132">
        <f>_xlfn.XLOOKUP(A132,[2]Sheet1!$A:$A,[2]Sheet1!$G:$G,"non trovato")</f>
        <v>41.8545655</v>
      </c>
      <c r="H132">
        <f>_xlfn.XLOOKUP(A132,[2]Sheet1!$A:$A,[2]Sheet1!$H:$H,"non trovato")</f>
        <v>12.452363</v>
      </c>
    </row>
    <row r="133" spans="1:8" x14ac:dyDescent="0.25">
      <c r="A133" s="1" t="str">
        <v>500000093888</v>
      </c>
      <c r="B133" s="1" t="str">
        <f>_xlfn.XLOOKUP(A133,[1]!TabellaContenitori[PdR],[1]!TabellaContenitori[AET])</f>
        <v>VIGNA PIA</v>
      </c>
      <c r="C133" s="1" t="str">
        <f>_xlfn.XLOOKUP(A133,[1]!TabellaContenitori[PdR],[1]!TabellaContenitori[Numero civico])</f>
        <v>8</v>
      </c>
      <c r="D133" s="1" t="str">
        <f t="shared" si="4"/>
        <v>VIGNA PIA, 8, Roma</v>
      </c>
      <c r="E133" s="1" t="str">
        <f t="shared" si="5"/>
        <v>VIGNA PIA</v>
      </c>
      <c r="F133" s="1" t="str">
        <f>_xlfn.XLOOKUP(B133,[1]!Tabella_N_Assi[Indirizzo],[1]!Tabella_N_Assi[Tipo Mezzo Preferenziale],"non trovato")</f>
        <v>non trovato</v>
      </c>
      <c r="G133">
        <f>_xlfn.XLOOKUP(A133,[2]Sheet1!$A:$A,[2]Sheet1!$G:$G,"non trovato")</f>
        <v>41.8597283</v>
      </c>
      <c r="H133">
        <f>_xlfn.XLOOKUP(A133,[2]Sheet1!$A:$A,[2]Sheet1!$H:$H,"non trovato")</f>
        <v>12.457281200000001</v>
      </c>
    </row>
    <row r="134" spans="1:8" x14ac:dyDescent="0.25">
      <c r="A134" s="1" t="str">
        <v>500000094507</v>
      </c>
      <c r="B134" s="1" t="str">
        <f>_xlfn.XLOOKUP(A134,[1]!TabellaContenitori[PdR],[1]!TabellaContenitori[AET])</f>
        <v>FRATTINI</v>
      </c>
      <c r="C134" s="1" t="str">
        <f>_xlfn.XLOOKUP(A134,[1]!TabellaContenitori[PdR],[1]!TabellaContenitori[Numero civico])</f>
        <v>24</v>
      </c>
      <c r="D134" s="1" t="str">
        <f t="shared" si="4"/>
        <v>FRATTINI, 24, Roma</v>
      </c>
      <c r="E134" s="1" t="str">
        <f t="shared" si="5"/>
        <v>FRATTINI</v>
      </c>
      <c r="F134" s="1" t="str">
        <f>_xlfn.XLOOKUP(B134,[1]!Tabella_N_Assi[Indirizzo],[1]!Tabella_N_Assi[Tipo Mezzo Preferenziale],"non trovato")</f>
        <v>non trovato</v>
      </c>
      <c r="G134">
        <f>_xlfn.XLOOKUP(A134,[2]Sheet1!$A:$A,[2]Sheet1!$G:$G,"non trovato")</f>
        <v>41.853628999999998</v>
      </c>
      <c r="H134">
        <f>_xlfn.XLOOKUP(A134,[2]Sheet1!$A:$A,[2]Sheet1!$H:$H,"non trovato")</f>
        <v>12.4476464</v>
      </c>
    </row>
    <row r="135" spans="1:8" x14ac:dyDescent="0.25">
      <c r="A135" s="1" t="str">
        <v>500000094606</v>
      </c>
      <c r="B135" s="1" t="str">
        <f>_xlfn.XLOOKUP(A135,[1]!TabellaContenitori[PdR],[1]!TabellaContenitori[AET])</f>
        <v>FRATTINI</v>
      </c>
      <c r="C135" s="1" t="str">
        <f>_xlfn.XLOOKUP(A135,[1]!TabellaContenitori[PdR],[1]!TabellaContenitori[Numero civico])</f>
        <v>25</v>
      </c>
      <c r="D135" s="1" t="str">
        <f t="shared" si="4"/>
        <v>FRATTINI, 25, Roma</v>
      </c>
      <c r="E135" s="1" t="str">
        <f t="shared" si="5"/>
        <v>FRATTINI</v>
      </c>
      <c r="F135" s="1" t="str">
        <f>_xlfn.XLOOKUP(B135,[1]!Tabella_N_Assi[Indirizzo],[1]!Tabella_N_Assi[Tipo Mezzo Preferenziale],"non trovato")</f>
        <v>non trovato</v>
      </c>
      <c r="G135">
        <f>_xlfn.XLOOKUP(A135,[2]Sheet1!$A:$A,[2]Sheet1!$G:$G,"non trovato")</f>
        <v>41.853891400000002</v>
      </c>
      <c r="H135">
        <f>_xlfn.XLOOKUP(A135,[2]Sheet1!$A:$A,[2]Sheet1!$H:$H,"non trovato")</f>
        <v>12.449409299999999</v>
      </c>
    </row>
    <row r="136" spans="1:8" x14ac:dyDescent="0.25">
      <c r="A136" s="1" t="str">
        <v>500000125827</v>
      </c>
      <c r="B136" s="1" t="str">
        <f>_xlfn.XLOOKUP(A136,[1]!TabellaContenitori[PdR],[1]!TabellaContenitori[AET])</f>
        <v>FRATTINI</v>
      </c>
      <c r="C136" s="1" t="str">
        <f>_xlfn.XLOOKUP(A136,[1]!TabellaContenitori[PdR],[1]!TabellaContenitori[Numero civico])</f>
        <v>7</v>
      </c>
      <c r="D136" s="1" t="str">
        <f t="shared" si="4"/>
        <v>FRATTINI, 7, Roma</v>
      </c>
      <c r="E136" s="1" t="str">
        <f t="shared" si="5"/>
        <v>FRATTINI</v>
      </c>
      <c r="F136" s="1" t="str">
        <f>_xlfn.XLOOKUP(B136,[1]!Tabella_N_Assi[Indirizzo],[1]!Tabella_N_Assi[Tipo Mezzo Preferenziale],"non trovato")</f>
        <v>non trovato</v>
      </c>
      <c r="G136">
        <f>_xlfn.XLOOKUP(A136,[2]Sheet1!$A:$A,[2]Sheet1!$G:$G,"non trovato")</f>
        <v>41.854479699999999</v>
      </c>
      <c r="H136">
        <f>_xlfn.XLOOKUP(A136,[2]Sheet1!$A:$A,[2]Sheet1!$H:$H,"non trovato")</f>
        <v>12.450822499999999</v>
      </c>
    </row>
    <row r="137" spans="1:8" x14ac:dyDescent="0.25">
      <c r="A137" s="1" t="str">
        <v>500000048850</v>
      </c>
      <c r="B137" s="1" t="str">
        <f>_xlfn.XLOOKUP(A137,[1]!TabellaContenitori[PdR],[1]!TabellaContenitori[AET])</f>
        <v>VIGNA PIA</v>
      </c>
      <c r="C137" s="1" t="str">
        <f>_xlfn.XLOOKUP(A137,[1]!TabellaContenitori[PdR],[1]!TabellaContenitori[Numero civico])</f>
        <v>39</v>
      </c>
      <c r="D137" s="1" t="str">
        <f t="shared" si="4"/>
        <v>VIGNA PIA, 39, Roma</v>
      </c>
      <c r="E137" s="1" t="str">
        <f t="shared" si="5"/>
        <v>VIGNA PIA</v>
      </c>
      <c r="F137" s="1" t="str">
        <f>_xlfn.XLOOKUP(B137,[1]!Tabella_N_Assi[Indirizzo],[1]!Tabella_N_Assi[Tipo Mezzo Preferenziale],"non trovato")</f>
        <v>non trovato</v>
      </c>
      <c r="G137">
        <f>_xlfn.XLOOKUP(A137,[2]Sheet1!$A:$A,[2]Sheet1!$G:$G,"non trovato")</f>
        <v>41.863948600000001</v>
      </c>
      <c r="H137">
        <f>_xlfn.XLOOKUP(A137,[2]Sheet1!$A:$A,[2]Sheet1!$H:$H,"non trovato")</f>
        <v>12.4598213</v>
      </c>
    </row>
    <row r="138" spans="1:8" x14ac:dyDescent="0.25">
      <c r="A138" s="1" t="str">
        <v>500000097757</v>
      </c>
      <c r="B138" s="1" t="str">
        <f>_xlfn.XLOOKUP(A138,[1]!TabellaContenitori[PdR],[1]!TabellaContenitori[AET])</f>
        <v>PORTUENSE</v>
      </c>
      <c r="C138" s="1" t="str">
        <f>_xlfn.XLOOKUP(A138,[1]!TabellaContenitori[PdR],[1]!TabellaContenitori[Numero civico])</f>
        <v>247</v>
      </c>
      <c r="D138" s="1" t="str">
        <f t="shared" si="4"/>
        <v>PORTUENSE, 247, Roma</v>
      </c>
      <c r="E138" s="1" t="str">
        <f t="shared" si="5"/>
        <v>PORTUENSE</v>
      </c>
      <c r="F138" s="1" t="str">
        <f>_xlfn.XLOOKUP(B138,[1]!Tabella_N_Assi[Indirizzo],[1]!Tabella_N_Assi[Tipo Mezzo Preferenziale],"non trovato")</f>
        <v>non trovato</v>
      </c>
      <c r="G138">
        <f>_xlfn.XLOOKUP(A138,[2]Sheet1!$A:$A,[2]Sheet1!$G:$G,"non trovato")</f>
        <v>41.870518400000002</v>
      </c>
      <c r="H138">
        <f>_xlfn.XLOOKUP(A138,[2]Sheet1!$A:$A,[2]Sheet1!$H:$H,"non trovato")</f>
        <v>12.4653882</v>
      </c>
    </row>
    <row r="139" spans="1:8" x14ac:dyDescent="0.25">
      <c r="A139" s="1" t="str">
        <v>500000094977</v>
      </c>
      <c r="B139" s="1" t="str">
        <f>_xlfn.XLOOKUP(A139,[1]!TabellaContenitori[PdR],[1]!TabellaContenitori[AET])</f>
        <v>PORTUENSE</v>
      </c>
      <c r="C139" s="1" t="str">
        <f>_xlfn.XLOOKUP(A139,[1]!TabellaContenitori[PdR],[1]!TabellaContenitori[Numero civico])</f>
        <v>79</v>
      </c>
      <c r="D139" s="1" t="str">
        <f t="shared" si="4"/>
        <v>PORTUENSE, 79, Roma</v>
      </c>
      <c r="E139" s="1" t="str">
        <f t="shared" si="5"/>
        <v>PORTUENSE</v>
      </c>
      <c r="F139" s="1" t="str">
        <f>_xlfn.XLOOKUP(B139,[1]!Tabella_N_Assi[Indirizzo],[1]!Tabella_N_Assi[Tipo Mezzo Preferenziale],"non trovato")</f>
        <v>non trovato</v>
      </c>
      <c r="G139">
        <f>_xlfn.XLOOKUP(A139,[2]Sheet1!$A:$A,[2]Sheet1!$G:$G,"non trovato")</f>
        <v>41.8583189</v>
      </c>
      <c r="H139">
        <f>_xlfn.XLOOKUP(A139,[2]Sheet1!$A:$A,[2]Sheet1!$H:$H,"non trovato")</f>
        <v>12.451320600000001</v>
      </c>
    </row>
    <row r="140" spans="1:8" x14ac:dyDescent="0.25">
      <c r="A140" s="1" t="str">
        <v>500000214929</v>
      </c>
      <c r="B140" s="1" t="str">
        <f>_xlfn.XLOOKUP(A140,[1]!TabellaContenitori[PdR],[1]!TabellaContenitori[AET])</f>
        <v>TRULLO - MONTE DELLE CAPRE</v>
      </c>
      <c r="C140" s="1" t="str">
        <f>_xlfn.XLOOKUP(A140,[1]!TabellaContenitori[PdR],[1]!TabellaContenitori[Numero civico])</f>
        <v>60</v>
      </c>
      <c r="D140" s="1" t="str">
        <f t="shared" si="4"/>
        <v>TRULLO - MONTE DELLE CAPRE, 60, Roma</v>
      </c>
      <c r="E140" s="1" t="str">
        <f t="shared" si="5"/>
        <v>TRULLO - MONTE DELLE CAPRE</v>
      </c>
      <c r="F140" s="1" t="str">
        <f>_xlfn.XLOOKUP(B140,[1]!Tabella_N_Assi[Indirizzo],[1]!Tabella_N_Assi[Tipo Mezzo Preferenziale],"non trovato")</f>
        <v>non trovato</v>
      </c>
      <c r="G140">
        <f>_xlfn.XLOOKUP(A140,[2]Sheet1!$A:$A,[2]Sheet1!$G:$G,"non trovato")</f>
        <v>41.8431517</v>
      </c>
      <c r="H140">
        <f>_xlfn.XLOOKUP(A140,[2]Sheet1!$A:$A,[2]Sheet1!$H:$H,"non trovato")</f>
        <v>12.436747499999999</v>
      </c>
    </row>
    <row r="141" spans="1:8" x14ac:dyDescent="0.25">
      <c r="A141" s="1" t="str">
        <v>500000203748</v>
      </c>
      <c r="B141" s="1" t="str">
        <f>_xlfn.XLOOKUP(A141,[1]!TabellaContenitori[PdR],[1]!TabellaContenitori[AET])</f>
        <v>PORTUENSE</v>
      </c>
      <c r="C141" s="1" t="str">
        <f>_xlfn.XLOOKUP(A141,[1]!TabellaContenitori[PdR],[1]!TabellaContenitori[Numero civico])</f>
        <v>85</v>
      </c>
      <c r="D141" s="1" t="str">
        <f t="shared" si="4"/>
        <v>PORTUENSE, 85, Roma</v>
      </c>
      <c r="E141" s="1" t="str">
        <f t="shared" si="5"/>
        <v>PORTUENSE</v>
      </c>
      <c r="F141" s="1" t="str">
        <f>_xlfn.XLOOKUP(B141,[1]!Tabella_N_Assi[Indirizzo],[1]!Tabella_N_Assi[Tipo Mezzo Preferenziale],"non trovato")</f>
        <v>non trovato</v>
      </c>
      <c r="G141">
        <f>_xlfn.XLOOKUP(A141,[2]Sheet1!$A:$A,[2]Sheet1!$G:$G,"non trovato")</f>
        <v>41.870657799999996</v>
      </c>
      <c r="H141">
        <f>_xlfn.XLOOKUP(A141,[2]Sheet1!$A:$A,[2]Sheet1!$H:$H,"non trovato")</f>
        <v>12.4618869</v>
      </c>
    </row>
    <row r="142" spans="1:8" x14ac:dyDescent="0.25">
      <c r="A142" s="1" t="str">
        <v>500000075862</v>
      </c>
      <c r="B142" s="1" t="str">
        <f>_xlfn.XLOOKUP(A142,[1]!TabellaContenitori[PdR],[1]!TabellaContenitori[AET])</f>
        <v>MAGLIANA</v>
      </c>
      <c r="C142" s="1" t="str">
        <f>_xlfn.XLOOKUP(A142,[1]!TabellaContenitori[PdR],[1]!TabellaContenitori[Numero civico])</f>
        <v>49</v>
      </c>
      <c r="D142" s="1" t="str">
        <f t="shared" si="4"/>
        <v>MAGLIANA, 49, Roma</v>
      </c>
      <c r="E142" s="1" t="str">
        <f t="shared" si="5"/>
        <v>MAGLIANA</v>
      </c>
      <c r="F142" s="1" t="str">
        <f>_xlfn.XLOOKUP(B142,[1]!Tabella_N_Assi[Indirizzo],[1]!Tabella_N_Assi[Tipo Mezzo Preferenziale],"non trovato")</f>
        <v>non trovato</v>
      </c>
      <c r="G142">
        <f>_xlfn.XLOOKUP(A142,[2]Sheet1!$A:$A,[2]Sheet1!$G:$G,"non trovato")</f>
        <v>41.821498800000001</v>
      </c>
      <c r="H142">
        <f>_xlfn.XLOOKUP(A142,[2]Sheet1!$A:$A,[2]Sheet1!$H:$H,"non trovato")</f>
        <v>12.394792799999999</v>
      </c>
    </row>
    <row r="143" spans="1:8" x14ac:dyDescent="0.25">
      <c r="A143" s="1" t="str">
        <v>500000072138</v>
      </c>
      <c r="B143" s="1" t="str">
        <f>_xlfn.XLOOKUP(A143,[1]!TabellaContenitori[PdR],[1]!TabellaContenitori[AET])</f>
        <v>PORTUENSE</v>
      </c>
      <c r="C143" s="1" t="str">
        <f>_xlfn.XLOOKUP(A143,[1]!TabellaContenitori[PdR],[1]!TabellaContenitori[Numero civico])</f>
        <v>70</v>
      </c>
      <c r="D143" s="1" t="str">
        <f t="shared" si="4"/>
        <v>PORTUENSE, 70, Roma</v>
      </c>
      <c r="E143" s="1" t="str">
        <f t="shared" si="5"/>
        <v>PORTUENSE</v>
      </c>
      <c r="F143" s="1" t="str">
        <f>_xlfn.XLOOKUP(B143,[1]!Tabella_N_Assi[Indirizzo],[1]!Tabella_N_Assi[Tipo Mezzo Preferenziale],"non trovato")</f>
        <v>non trovato</v>
      </c>
      <c r="G143">
        <f>_xlfn.XLOOKUP(A143,[2]Sheet1!$A:$A,[2]Sheet1!$G:$G,"non trovato")</f>
        <v>41.857732400000003</v>
      </c>
      <c r="H143">
        <f>_xlfn.XLOOKUP(A143,[2]Sheet1!$A:$A,[2]Sheet1!$H:$H,"non trovato")</f>
        <v>12.453292599999999</v>
      </c>
    </row>
    <row r="144" spans="1:8" x14ac:dyDescent="0.25">
      <c r="A144" s="1" t="str">
        <v>500000075920</v>
      </c>
      <c r="B144" s="1" t="str">
        <f>_xlfn.XLOOKUP(A144,[1]!TabellaContenitori[PdR],[1]!TabellaContenitori[AET])</f>
        <v>MAGLIANA</v>
      </c>
      <c r="C144" s="1" t="str">
        <f>_xlfn.XLOOKUP(A144,[1]!TabellaContenitori[PdR],[1]!TabellaContenitori[Numero civico])</f>
        <v>272</v>
      </c>
      <c r="D144" s="1" t="str">
        <f t="shared" si="4"/>
        <v>MAGLIANA, 272, Roma</v>
      </c>
      <c r="E144" s="1" t="str">
        <f t="shared" si="5"/>
        <v>MAGLIANA</v>
      </c>
      <c r="F144" s="1" t="str">
        <f>_xlfn.XLOOKUP(B144,[1]!Tabella_N_Assi[Indirizzo],[1]!Tabella_N_Assi[Tipo Mezzo Preferenziale],"non trovato")</f>
        <v>non trovato</v>
      </c>
      <c r="G144">
        <f>_xlfn.XLOOKUP(A144,[2]Sheet1!$A:$A,[2]Sheet1!$G:$G,"non trovato")</f>
        <v>41.821498800000001</v>
      </c>
      <c r="H144">
        <f>_xlfn.XLOOKUP(A144,[2]Sheet1!$A:$A,[2]Sheet1!$H:$H,"non trovato")</f>
        <v>12.394792799999999</v>
      </c>
    </row>
    <row r="145" spans="1:8" x14ac:dyDescent="0.25">
      <c r="A145" s="1" t="str">
        <v>500000019736</v>
      </c>
      <c r="B145" s="1" t="str">
        <f>_xlfn.XLOOKUP(A145,[1]!TabellaContenitori[PdR],[1]!TabellaContenitori[AET])</f>
        <v>MAGLIANA</v>
      </c>
      <c r="C145" s="1" t="str">
        <f>_xlfn.XLOOKUP(A145,[1]!TabellaContenitori[PdR],[1]!TabellaContenitori[Numero civico])</f>
        <v>53</v>
      </c>
      <c r="D145" s="1" t="str">
        <f t="shared" si="4"/>
        <v>MAGLIANA, 53, Roma</v>
      </c>
      <c r="E145" s="1" t="str">
        <f t="shared" si="5"/>
        <v>MAGLIANA</v>
      </c>
      <c r="F145" s="1" t="str">
        <f>_xlfn.XLOOKUP(B145,[1]!Tabella_N_Assi[Indirizzo],[1]!Tabella_N_Assi[Tipo Mezzo Preferenziale],"non trovato")</f>
        <v>non trovato</v>
      </c>
      <c r="G145">
        <f>_xlfn.XLOOKUP(A145,[2]Sheet1!$A:$A,[2]Sheet1!$G:$G,"non trovato")</f>
        <v>41.853244599999996</v>
      </c>
      <c r="H145">
        <f>_xlfn.XLOOKUP(A145,[2]Sheet1!$A:$A,[2]Sheet1!$H:$H,"non trovato")</f>
        <v>12.456374800000001</v>
      </c>
    </row>
    <row r="146" spans="1:8" x14ac:dyDescent="0.25">
      <c r="A146" s="1" t="str">
        <v>500000093225</v>
      </c>
      <c r="B146" s="1" t="str">
        <f>_xlfn.XLOOKUP(A146,[1]!TabellaContenitori[PdR],[1]!TabellaContenitori[AET])</f>
        <v>MAGLIANA NUOVA</v>
      </c>
      <c r="C146" s="1" t="str">
        <f>_xlfn.XLOOKUP(A146,[1]!TabellaContenitori[PdR],[1]!TabellaContenitori[Numero civico])</f>
        <v>60</v>
      </c>
      <c r="D146" s="1" t="str">
        <f t="shared" si="4"/>
        <v>MAGLIANA NUOVA, 60, Roma</v>
      </c>
      <c r="E146" s="1" t="str">
        <f t="shared" si="5"/>
        <v>MAGLIANA NUOVA</v>
      </c>
      <c r="F146" s="1" t="str">
        <f>_xlfn.XLOOKUP(B146,[1]!Tabella_N_Assi[Indirizzo],[1]!Tabella_N_Assi[Tipo Mezzo Preferenziale],"non trovato")</f>
        <v>non trovato</v>
      </c>
      <c r="G146">
        <f>_xlfn.XLOOKUP(A146,[2]Sheet1!$A:$A,[2]Sheet1!$G:$G,"non trovato")</f>
        <v>41.849848999999999</v>
      </c>
      <c r="H146">
        <f>_xlfn.XLOOKUP(A146,[2]Sheet1!$A:$A,[2]Sheet1!$H:$H,"non trovato")</f>
        <v>12.4611266</v>
      </c>
    </row>
    <row r="147" spans="1:8" x14ac:dyDescent="0.25">
      <c r="A147" s="1" t="str">
        <v>500000075864</v>
      </c>
      <c r="B147" s="1" t="str">
        <f>_xlfn.XLOOKUP(A147,[1]!TabellaContenitori[PdR],[1]!TabellaContenitori[AET])</f>
        <v>MAGLIANA</v>
      </c>
      <c r="C147" s="1" t="str">
        <f>_xlfn.XLOOKUP(A147,[1]!TabellaContenitori[PdR],[1]!TabellaContenitori[Numero civico])</f>
        <v>54</v>
      </c>
      <c r="D147" s="1" t="str">
        <f t="shared" si="4"/>
        <v>MAGLIANA, 54, Roma</v>
      </c>
      <c r="E147" s="1" t="str">
        <f t="shared" si="5"/>
        <v>MAGLIANA</v>
      </c>
      <c r="F147" s="1" t="str">
        <f>_xlfn.XLOOKUP(B147,[1]!Tabella_N_Assi[Indirizzo],[1]!Tabella_N_Assi[Tipo Mezzo Preferenziale],"non trovato")</f>
        <v>non trovato</v>
      </c>
      <c r="G147">
        <f>_xlfn.XLOOKUP(A147,[2]Sheet1!$A:$A,[2]Sheet1!$G:$G,"non trovato")</f>
        <v>41.821498800000001</v>
      </c>
      <c r="H147">
        <f>_xlfn.XLOOKUP(A147,[2]Sheet1!$A:$A,[2]Sheet1!$H:$H,"non trovato")</f>
        <v>12.394792799999999</v>
      </c>
    </row>
    <row r="148" spans="1:8" x14ac:dyDescent="0.25">
      <c r="A148" s="1" t="str">
        <v>500000070894</v>
      </c>
      <c r="B148" s="1" t="str">
        <f>_xlfn.XLOOKUP(A148,[1]!TabellaContenitori[PdR],[1]!TabellaContenitori[AET])</f>
        <v>MAGLIANA NUOVA</v>
      </c>
      <c r="C148" s="1" t="str">
        <f>_xlfn.XLOOKUP(A148,[1]!TabellaContenitori[PdR],[1]!TabellaContenitori[Numero civico])</f>
        <v>49</v>
      </c>
      <c r="D148" s="1" t="str">
        <f t="shared" si="4"/>
        <v>MAGLIANA NUOVA, 49, Roma</v>
      </c>
      <c r="E148" s="1" t="str">
        <f t="shared" si="5"/>
        <v>MAGLIANA NUOVA</v>
      </c>
      <c r="F148" s="1" t="str">
        <f>_xlfn.XLOOKUP(B148,[1]!Tabella_N_Assi[Indirizzo],[1]!Tabella_N_Assi[Tipo Mezzo Preferenziale],"non trovato")</f>
        <v>non trovato</v>
      </c>
      <c r="G148">
        <f>_xlfn.XLOOKUP(A148,[2]Sheet1!$A:$A,[2]Sheet1!$G:$G,"non trovato")</f>
        <v>41.849196999999997</v>
      </c>
      <c r="H148">
        <f>_xlfn.XLOOKUP(A148,[2]Sheet1!$A:$A,[2]Sheet1!$H:$H,"non trovato")</f>
        <v>12.4611974</v>
      </c>
    </row>
    <row r="149" spans="1:8" x14ac:dyDescent="0.25">
      <c r="A149" s="1" t="str">
        <v>500000107196</v>
      </c>
      <c r="B149" s="1" t="str">
        <f>_xlfn.XLOOKUP(A149,[1]!TabellaContenitori[PdR],[1]!TabellaContenitori[AET])</f>
        <v>TRULLO - MONTE CUCCO</v>
      </c>
      <c r="C149" s="1" t="str">
        <f>_xlfn.XLOOKUP(A149,[1]!TabellaContenitori[PdR],[1]!TabellaContenitori[Numero civico])</f>
        <v>63</v>
      </c>
      <c r="D149" s="1" t="str">
        <f t="shared" si="4"/>
        <v>TRULLO - MONTE CUCCO, 63, Roma</v>
      </c>
      <c r="E149" s="1" t="str">
        <f t="shared" si="5"/>
        <v>TRULLO - MONTE CUCCO</v>
      </c>
      <c r="F149" s="1" t="str">
        <f>_xlfn.XLOOKUP(B149,[1]!Tabella_N_Assi[Indirizzo],[1]!Tabella_N_Assi[Tipo Mezzo Preferenziale],"non trovato")</f>
        <v>non trovato</v>
      </c>
      <c r="G149">
        <f>_xlfn.XLOOKUP(A149,[2]Sheet1!$A:$A,[2]Sheet1!$G:$G,"non trovato")</f>
        <v>41.852133799999997</v>
      </c>
      <c r="H149">
        <f>_xlfn.XLOOKUP(A149,[2]Sheet1!$A:$A,[2]Sheet1!$H:$H,"non trovato")</f>
        <v>12.444683899999999</v>
      </c>
    </row>
    <row r="150" spans="1:8" x14ac:dyDescent="0.25">
      <c r="A150" s="1" t="str">
        <v>500000093868</v>
      </c>
      <c r="B150" s="1" t="str">
        <f>_xlfn.XLOOKUP(A150,[1]!TabellaContenitori[PdR],[1]!TabellaContenitori[AET])</f>
        <v>TRULLO - MONTE CUCCO</v>
      </c>
      <c r="C150" s="1" t="str">
        <f>_xlfn.XLOOKUP(A150,[1]!TabellaContenitori[PdR],[1]!TabellaContenitori[Numero civico])</f>
        <v>95</v>
      </c>
      <c r="D150" s="1" t="str">
        <f t="shared" si="4"/>
        <v>TRULLO - MONTE CUCCO, 95, Roma</v>
      </c>
      <c r="E150" s="1" t="str">
        <f t="shared" si="5"/>
        <v>TRULLO - MONTE CUCCO</v>
      </c>
      <c r="F150" s="1" t="str">
        <f>_xlfn.XLOOKUP(B150,[1]!Tabella_N_Assi[Indirizzo],[1]!Tabella_N_Assi[Tipo Mezzo Preferenziale],"non trovato")</f>
        <v>non trovato</v>
      </c>
      <c r="G150">
        <f>_xlfn.XLOOKUP(A150,[2]Sheet1!$A:$A,[2]Sheet1!$G:$G,"non trovato")</f>
        <v>41.842407199999997</v>
      </c>
      <c r="H150">
        <f>_xlfn.XLOOKUP(A150,[2]Sheet1!$A:$A,[2]Sheet1!$H:$H,"non trovato")</f>
        <v>12.440671</v>
      </c>
    </row>
    <row r="151" spans="1:8" x14ac:dyDescent="0.25">
      <c r="A151" s="1" t="str">
        <v>500000009845</v>
      </c>
      <c r="B151" s="1" t="str">
        <f>_xlfn.XLOOKUP(A151,[1]!TabellaContenitori[PdR],[1]!TabellaContenitori[AET])</f>
        <v>TRULLO - MONTE CUCCO</v>
      </c>
      <c r="C151" s="1" t="str">
        <f>_xlfn.XLOOKUP(A151,[1]!TabellaContenitori[PdR],[1]!TabellaContenitori[Numero civico])</f>
        <v>45</v>
      </c>
      <c r="D151" s="1" t="str">
        <f t="shared" si="4"/>
        <v>TRULLO - MONTE CUCCO, 45, Roma</v>
      </c>
      <c r="E151" s="1" t="str">
        <f t="shared" si="5"/>
        <v>TRULLO - MONTE CUCCO</v>
      </c>
      <c r="F151" s="1" t="str">
        <f>_xlfn.XLOOKUP(B151,[1]!Tabella_N_Assi[Indirizzo],[1]!Tabella_N_Assi[Tipo Mezzo Preferenziale],"non trovato")</f>
        <v>non trovato</v>
      </c>
      <c r="G151">
        <f>_xlfn.XLOOKUP(A151,[2]Sheet1!$A:$A,[2]Sheet1!$G:$G,"non trovato")</f>
        <v>41.853992300000002</v>
      </c>
      <c r="H151">
        <f>_xlfn.XLOOKUP(A151,[2]Sheet1!$A:$A,[2]Sheet1!$H:$H,"non trovato")</f>
        <v>12.4453563</v>
      </c>
    </row>
    <row r="152" spans="1:8" x14ac:dyDescent="0.25">
      <c r="A152" s="1" t="str">
        <v>500000069431</v>
      </c>
      <c r="B152" s="1" t="str">
        <f>_xlfn.XLOOKUP(A152,[1]!TabellaContenitori[PdR],[1]!TabellaContenitori[AET])</f>
        <v>TRULLO - MONTE CUCCO</v>
      </c>
      <c r="C152" s="1" t="str">
        <f>_xlfn.XLOOKUP(A152,[1]!TabellaContenitori[PdR],[1]!TabellaContenitori[Numero civico])</f>
        <v>84</v>
      </c>
      <c r="D152" s="1" t="str">
        <f t="shared" si="4"/>
        <v>TRULLO - MONTE CUCCO, 84, Roma</v>
      </c>
      <c r="E152" s="1" t="str">
        <f t="shared" si="5"/>
        <v>TRULLO - MONTE CUCCO</v>
      </c>
      <c r="F152" s="1" t="str">
        <f>_xlfn.XLOOKUP(B152,[1]!Tabella_N_Assi[Indirizzo],[1]!Tabella_N_Assi[Tipo Mezzo Preferenziale],"non trovato")</f>
        <v>non trovato</v>
      </c>
      <c r="G152">
        <f>_xlfn.XLOOKUP(A152,[2]Sheet1!$A:$A,[2]Sheet1!$G:$G,"non trovato")</f>
        <v>41.850358300000003</v>
      </c>
      <c r="H152">
        <f>_xlfn.XLOOKUP(A152,[2]Sheet1!$A:$A,[2]Sheet1!$H:$H,"non trovato")</f>
        <v>12.4457421</v>
      </c>
    </row>
    <row r="153" spans="1:8" x14ac:dyDescent="0.25">
      <c r="A153" s="1" t="str">
        <v>500000120335</v>
      </c>
      <c r="B153" s="1" t="str">
        <f>_xlfn.XLOOKUP(A153,[1]!TabellaContenitori[PdR],[1]!TabellaContenitori[AET])</f>
        <v>TRULLO - MONTE CUCCO</v>
      </c>
      <c r="C153" s="1" t="str">
        <f>_xlfn.XLOOKUP(A153,[1]!TabellaContenitori[PdR],[1]!TabellaContenitori[Numero civico])</f>
        <v>269</v>
      </c>
      <c r="D153" s="1" t="str">
        <f t="shared" si="4"/>
        <v>TRULLO - MONTE CUCCO, 269, Roma</v>
      </c>
      <c r="E153" s="1" t="str">
        <f t="shared" si="5"/>
        <v>TRULLO - MONTE CUCCO</v>
      </c>
      <c r="F153" s="1" t="str">
        <f>_xlfn.XLOOKUP(B153,[1]!Tabella_N_Assi[Indirizzo],[1]!Tabella_N_Assi[Tipo Mezzo Preferenziale],"non trovato")</f>
        <v>non trovato</v>
      </c>
      <c r="G153">
        <f>_xlfn.XLOOKUP(A153,[2]Sheet1!$A:$A,[2]Sheet1!$G:$G,"non trovato")</f>
        <v>41.8431517</v>
      </c>
      <c r="H153">
        <f>_xlfn.XLOOKUP(A153,[2]Sheet1!$A:$A,[2]Sheet1!$H:$H,"non trovato")</f>
        <v>12.436747499999999</v>
      </c>
    </row>
    <row r="154" spans="1:8" x14ac:dyDescent="0.25">
      <c r="A154" s="1" t="str">
        <v>500000009844</v>
      </c>
      <c r="B154" s="1" t="str">
        <f>_xlfn.XLOOKUP(A154,[1]!TabellaContenitori[PdR],[1]!TabellaContenitori[AET])</f>
        <v>TRULLO - MONTE CUCCO</v>
      </c>
      <c r="C154" s="1" t="str">
        <f>_xlfn.XLOOKUP(A154,[1]!TabellaContenitori[PdR],[1]!TabellaContenitori[Numero civico])</f>
        <v>32</v>
      </c>
      <c r="D154" s="1" t="str">
        <f t="shared" si="4"/>
        <v>TRULLO - MONTE CUCCO, 32, Roma</v>
      </c>
      <c r="E154" s="1" t="str">
        <f t="shared" si="5"/>
        <v>TRULLO - MONTE CUCCO</v>
      </c>
      <c r="F154" s="1" t="str">
        <f>_xlfn.XLOOKUP(B154,[1]!Tabella_N_Assi[Indirizzo],[1]!Tabella_N_Assi[Tipo Mezzo Preferenziale],"non trovato")</f>
        <v>non trovato</v>
      </c>
      <c r="G154">
        <f>_xlfn.XLOOKUP(A154,[2]Sheet1!$A:$A,[2]Sheet1!$G:$G,"non trovato")</f>
        <v>41.853992300000002</v>
      </c>
      <c r="H154">
        <f>_xlfn.XLOOKUP(A154,[2]Sheet1!$A:$A,[2]Sheet1!$H:$H,"non trovato")</f>
        <v>12.4453563</v>
      </c>
    </row>
    <row r="155" spans="1:8" x14ac:dyDescent="0.25">
      <c r="A155" s="1" t="str">
        <v>500000059164</v>
      </c>
      <c r="B155" s="1" t="str">
        <f>_xlfn.XLOOKUP(A155,[1]!TabellaContenitori[PdR],[1]!TabellaContenitori[AET])</f>
        <v>TRULLO - MONTE DELLE CAPRE</v>
      </c>
      <c r="C155" s="1" t="str">
        <f>_xlfn.XLOOKUP(A155,[1]!TabellaContenitori[PdR],[1]!TabellaContenitori[Numero civico])</f>
        <v>49</v>
      </c>
      <c r="D155" s="1" t="str">
        <f t="shared" si="4"/>
        <v>TRULLO - MONTE DELLE CAPRE, 49, Roma</v>
      </c>
      <c r="E155" s="1" t="str">
        <f t="shared" si="5"/>
        <v>TRULLO - MONTE DELLE CAPRE</v>
      </c>
      <c r="F155" s="1" t="str">
        <f>_xlfn.XLOOKUP(B155,[1]!Tabella_N_Assi[Indirizzo],[1]!Tabella_N_Assi[Tipo Mezzo Preferenziale],"non trovato")</f>
        <v>non trovato</v>
      </c>
      <c r="G155">
        <f>_xlfn.XLOOKUP(A155,[2]Sheet1!$A:$A,[2]Sheet1!$G:$G,"non trovato")</f>
        <v>41.834994199999997</v>
      </c>
      <c r="H155">
        <f>_xlfn.XLOOKUP(A155,[2]Sheet1!$A:$A,[2]Sheet1!$H:$H,"non trovato")</f>
        <v>12.4303554</v>
      </c>
    </row>
    <row r="156" spans="1:8" x14ac:dyDescent="0.25">
      <c r="A156" s="1" t="str">
        <v>500000075951</v>
      </c>
      <c r="B156" s="1" t="str">
        <f>_xlfn.XLOOKUP(A156,[1]!TabellaContenitori[PdR],[1]!TabellaContenitori[AET])</f>
        <v>PARCO DE' MEDICI</v>
      </c>
      <c r="C156" s="1" t="str">
        <f>_xlfn.XLOOKUP(A156,[1]!TabellaContenitori[PdR],[1]!TabellaContenitori[Numero civico])</f>
        <v>605</v>
      </c>
      <c r="D156" s="1" t="str">
        <f t="shared" si="4"/>
        <v>PARCO DE' MEDICI, 605, Roma</v>
      </c>
      <c r="E156" s="1" t="str">
        <f t="shared" si="5"/>
        <v>PARCO DE' MEDICI</v>
      </c>
      <c r="F156" s="1" t="str">
        <f>_xlfn.XLOOKUP(B156,[1]!Tabella_N_Assi[Indirizzo],[1]!Tabella_N_Assi[Tipo Mezzo Preferenziale],"non trovato")</f>
        <v>non trovato</v>
      </c>
      <c r="G156">
        <f>_xlfn.XLOOKUP(A156,[2]Sheet1!$A:$A,[2]Sheet1!$G:$G,"non trovato")</f>
        <v>41.821498800000001</v>
      </c>
      <c r="H156">
        <f>_xlfn.XLOOKUP(A156,[2]Sheet1!$A:$A,[2]Sheet1!$H:$H,"non trovato")</f>
        <v>12.394792799999999</v>
      </c>
    </row>
    <row r="157" spans="1:8" x14ac:dyDescent="0.25">
      <c r="A157" s="1" t="str">
        <v>500000032933</v>
      </c>
      <c r="B157" s="1" t="str">
        <f>_xlfn.XLOOKUP(A157,[1]!TabellaContenitori[PdR],[1]!TabellaContenitori[AET])</f>
        <v>CASETTA MATTEI</v>
      </c>
      <c r="C157" s="1" t="str">
        <f>_xlfn.XLOOKUP(A157,[1]!TabellaContenitori[PdR],[1]!TabellaContenitori[Numero civico])</f>
        <v>343</v>
      </c>
      <c r="D157" s="1" t="str">
        <f t="shared" si="4"/>
        <v>CASETTA MATTEI, 343, Roma</v>
      </c>
      <c r="E157" s="1" t="str">
        <f t="shared" si="5"/>
        <v>CASETTA MATTEI</v>
      </c>
      <c r="F157" s="1" t="str">
        <f>_xlfn.XLOOKUP(B157,[1]!Tabella_N_Assi[Indirizzo],[1]!Tabella_N_Assi[Tipo Mezzo Preferenziale],"non trovato")</f>
        <v>non trovato</v>
      </c>
      <c r="G157">
        <f>_xlfn.XLOOKUP(A157,[2]Sheet1!$A:$A,[2]Sheet1!$G:$G,"non trovato")</f>
        <v>41.859758599999999</v>
      </c>
      <c r="H157">
        <f>_xlfn.XLOOKUP(A157,[2]Sheet1!$A:$A,[2]Sheet1!$H:$H,"non trovato")</f>
        <v>12.419367100000001</v>
      </c>
    </row>
    <row r="158" spans="1:8" x14ac:dyDescent="0.25">
      <c r="A158" s="1" t="str">
        <v>500000139967</v>
      </c>
      <c r="B158" s="1" t="str">
        <f>_xlfn.XLOOKUP(A158,[1]!TabellaContenitori[PdR],[1]!TabellaContenitori[AET])</f>
        <v>CORVIALE</v>
      </c>
      <c r="C158" s="1" t="str">
        <f>_xlfn.XLOOKUP(A158,[1]!TabellaContenitori[PdR],[1]!TabellaContenitori[Numero civico])</f>
        <v>55</v>
      </c>
      <c r="D158" s="1" t="str">
        <f t="shared" si="4"/>
        <v>CORVIALE, 55, Roma</v>
      </c>
      <c r="E158" s="1" t="str">
        <f t="shared" si="5"/>
        <v>CORVIALE</v>
      </c>
      <c r="F158" s="1" t="str">
        <f>_xlfn.XLOOKUP(B158,[1]!Tabella_N_Assi[Indirizzo],[1]!Tabella_N_Assi[Tipo Mezzo Preferenziale],"non trovato")</f>
        <v>non trovato</v>
      </c>
      <c r="G158">
        <f>_xlfn.XLOOKUP(A158,[2]Sheet1!$A:$A,[2]Sheet1!$G:$G,"non trovato")</f>
        <v>41.851610000000001</v>
      </c>
      <c r="H158">
        <f>_xlfn.XLOOKUP(A158,[2]Sheet1!$A:$A,[2]Sheet1!$H:$H,"non trovato")</f>
        <v>12.414733699999999</v>
      </c>
    </row>
    <row r="159" spans="1:8" x14ac:dyDescent="0.25">
      <c r="A159" s="1" t="str">
        <v>500000124512</v>
      </c>
      <c r="B159" s="1" t="str">
        <f>_xlfn.XLOOKUP(A159,[1]!TabellaContenitori[PdR],[1]!TabellaContenitori[AET])</f>
        <v>TRULLO - MONTE DELLE CAPRE</v>
      </c>
      <c r="C159" s="1" t="str">
        <f>_xlfn.XLOOKUP(A159,[1]!TabellaContenitori[PdR],[1]!TabellaContenitori[Numero civico])</f>
        <v>44</v>
      </c>
      <c r="D159" s="1" t="str">
        <f t="shared" si="4"/>
        <v>TRULLO - MONTE DELLE CAPRE, 44, Roma</v>
      </c>
      <c r="E159" s="1" t="str">
        <f t="shared" si="5"/>
        <v>TRULLO - MONTE DELLE CAPRE</v>
      </c>
      <c r="F159" s="1" t="str">
        <f>_xlfn.XLOOKUP(B159,[1]!Tabella_N_Assi[Indirizzo],[1]!Tabella_N_Assi[Tipo Mezzo Preferenziale],"non trovato")</f>
        <v>non trovato</v>
      </c>
      <c r="G159">
        <f>_xlfn.XLOOKUP(A159,[2]Sheet1!$A:$A,[2]Sheet1!$G:$G,"non trovato")</f>
        <v>41.836390000000002</v>
      </c>
      <c r="H159">
        <f>_xlfn.XLOOKUP(A159,[2]Sheet1!$A:$A,[2]Sheet1!$H:$H,"non trovato")</f>
        <v>12.421317</v>
      </c>
    </row>
    <row r="160" spans="1:8" x14ac:dyDescent="0.25">
      <c r="A160" s="1" t="str">
        <v>500000032929</v>
      </c>
      <c r="B160" s="1" t="str">
        <f>_xlfn.XLOOKUP(A160,[1]!TabellaContenitori[PdR],[1]!TabellaContenitori[AET])</f>
        <v>CASETTA MATTEI</v>
      </c>
      <c r="C160" s="1" t="str">
        <f>_xlfn.XLOOKUP(A160,[1]!TabellaContenitori[PdR],[1]!TabellaContenitori[Numero civico])</f>
        <v>279</v>
      </c>
      <c r="D160" s="1" t="str">
        <f t="shared" si="4"/>
        <v>CASETTA MATTEI, 279, Roma</v>
      </c>
      <c r="E160" s="1" t="str">
        <f t="shared" si="5"/>
        <v>CASETTA MATTEI</v>
      </c>
      <c r="F160" s="1" t="str">
        <f>_xlfn.XLOOKUP(B160,[1]!Tabella_N_Assi[Indirizzo],[1]!Tabella_N_Assi[Tipo Mezzo Preferenziale],"non trovato")</f>
        <v>non trovato</v>
      </c>
      <c r="G160">
        <f>_xlfn.XLOOKUP(A160,[2]Sheet1!$A:$A,[2]Sheet1!$G:$G,"non trovato")</f>
        <v>41.859758599999999</v>
      </c>
      <c r="H160">
        <f>_xlfn.XLOOKUP(A160,[2]Sheet1!$A:$A,[2]Sheet1!$H:$H,"non trovato")</f>
        <v>12.419367100000001</v>
      </c>
    </row>
    <row r="161" spans="1:8" x14ac:dyDescent="0.25">
      <c r="A161" s="1" t="str">
        <v>500000134766</v>
      </c>
      <c r="B161" s="1" t="str">
        <f>_xlfn.XLOOKUP(A161,[1]!TabellaContenitori[PdR],[1]!TabellaContenitori[AET])</f>
        <v>TRULLO - MONTE DELLE CAPRE</v>
      </c>
      <c r="C161" s="1" t="str">
        <f>_xlfn.XLOOKUP(A161,[1]!TabellaContenitori[PdR],[1]!TabellaContenitori[Numero civico])</f>
        <v>133</v>
      </c>
      <c r="D161" s="1" t="str">
        <f t="shared" si="4"/>
        <v>TRULLO - MONTE DELLE CAPRE, 133, Roma</v>
      </c>
      <c r="E161" s="1" t="str">
        <f t="shared" si="5"/>
        <v>TRULLO - MONTE DELLE CAPRE</v>
      </c>
      <c r="F161" s="1" t="str">
        <f>_xlfn.XLOOKUP(B161,[1]!Tabella_N_Assi[Indirizzo],[1]!Tabella_N_Assi[Tipo Mezzo Preferenziale],"non trovato")</f>
        <v>non trovato</v>
      </c>
      <c r="G161">
        <f>_xlfn.XLOOKUP(A161,[2]Sheet1!$A:$A,[2]Sheet1!$G:$G,"non trovato")</f>
        <v>41.836736500000001</v>
      </c>
      <c r="H161">
        <f>_xlfn.XLOOKUP(A161,[2]Sheet1!$A:$A,[2]Sheet1!$H:$H,"non trovato")</f>
        <v>12.4262792</v>
      </c>
    </row>
    <row r="162" spans="1:8" x14ac:dyDescent="0.25">
      <c r="A162" s="1" t="str">
        <v>500000153064</v>
      </c>
      <c r="B162" s="1" t="str">
        <f>_xlfn.XLOOKUP(A162,[1]!TabellaContenitori[PdR],[1]!TabellaContenitori[AET])</f>
        <v>TRULLO - MONTE DELLE CAPRE</v>
      </c>
      <c r="C162" s="1" t="str">
        <f>_xlfn.XLOOKUP(A162,[1]!TabellaContenitori[PdR],[1]!TabellaContenitori[Numero civico])</f>
        <v>46</v>
      </c>
      <c r="D162" s="1" t="str">
        <f t="shared" si="4"/>
        <v>TRULLO - MONTE DELLE CAPRE, 46, Roma</v>
      </c>
      <c r="E162" s="1" t="str">
        <f t="shared" si="5"/>
        <v>TRULLO - MONTE DELLE CAPRE</v>
      </c>
      <c r="F162" s="1" t="str">
        <f>_xlfn.XLOOKUP(B162,[1]!Tabella_N_Assi[Indirizzo],[1]!Tabella_N_Assi[Tipo Mezzo Preferenziale],"non trovato")</f>
        <v>non trovato</v>
      </c>
      <c r="G162">
        <f>_xlfn.XLOOKUP(A162,[2]Sheet1!$A:$A,[2]Sheet1!$G:$G,"non trovato")</f>
        <v>41.837925400000003</v>
      </c>
      <c r="H162">
        <f>_xlfn.XLOOKUP(A162,[2]Sheet1!$A:$A,[2]Sheet1!$H:$H,"non trovato")</f>
        <v>12.4319752</v>
      </c>
    </row>
    <row r="163" spans="1:8" x14ac:dyDescent="0.25">
      <c r="A163" s="1" t="str">
        <v>500000098090</v>
      </c>
      <c r="B163" s="1" t="str">
        <f>_xlfn.XLOOKUP(A163,[1]!TabellaContenitori[PdR],[1]!TabellaContenitori[AET])</f>
        <v>PONTE GALERIA - PIANA DEL SOL</v>
      </c>
      <c r="C163" s="1" t="str">
        <f>_xlfn.XLOOKUP(A163,[1]!TabellaContenitori[PdR],[1]!TabellaContenitori[Numero civico])</f>
        <v>1680</v>
      </c>
      <c r="D163" s="1" t="str">
        <f t="shared" si="4"/>
        <v>PONTE GALERIA - PIANA DEL SOL, 1680, Roma</v>
      </c>
      <c r="E163" s="1" t="str">
        <f t="shared" si="5"/>
        <v>PONTE GALERIA - PIANA DEL SOL</v>
      </c>
      <c r="F163" s="1" t="str">
        <f>_xlfn.XLOOKUP(B163,[1]!Tabella_N_Assi[Indirizzo],[1]!Tabella_N_Assi[Tipo Mezzo Preferenziale],"non trovato")</f>
        <v>non trovato</v>
      </c>
      <c r="G163">
        <f>_xlfn.XLOOKUP(A163,[2]Sheet1!$A:$A,[2]Sheet1!$G:$G,"non trovato")</f>
        <v>41.870518400000002</v>
      </c>
      <c r="H163">
        <f>_xlfn.XLOOKUP(A163,[2]Sheet1!$A:$A,[2]Sheet1!$H:$H,"non trovato")</f>
        <v>12.4653882</v>
      </c>
    </row>
    <row r="164" spans="1:8" x14ac:dyDescent="0.25">
      <c r="A164" s="1" t="str">
        <v>500000139965</v>
      </c>
      <c r="B164" s="1" t="str">
        <f>_xlfn.XLOOKUP(A164,[1]!TabellaContenitori[PdR],[1]!TabellaContenitori[AET])</f>
        <v>CORVIALE</v>
      </c>
      <c r="C164" s="1" t="str">
        <f>_xlfn.XLOOKUP(A164,[1]!TabellaContenitori[PdR],[1]!TabellaContenitori[Numero civico])</f>
        <v>31</v>
      </c>
      <c r="D164" s="1" t="str">
        <f t="shared" si="4"/>
        <v>CORVIALE, 31, Roma</v>
      </c>
      <c r="E164" s="1" t="str">
        <f t="shared" si="5"/>
        <v>CORVIALE</v>
      </c>
      <c r="F164" s="1" t="str">
        <f>_xlfn.XLOOKUP(B164,[1]!Tabella_N_Assi[Indirizzo],[1]!Tabella_N_Assi[Tipo Mezzo Preferenziale],"non trovato")</f>
        <v>non trovato</v>
      </c>
      <c r="G164">
        <f>_xlfn.XLOOKUP(A164,[2]Sheet1!$A:$A,[2]Sheet1!$G:$G,"non trovato")</f>
        <v>41.851610000000001</v>
      </c>
      <c r="H164">
        <f>_xlfn.XLOOKUP(A164,[2]Sheet1!$A:$A,[2]Sheet1!$H:$H,"non trovato")</f>
        <v>12.414733699999999</v>
      </c>
    </row>
    <row r="165" spans="1:8" x14ac:dyDescent="0.25">
      <c r="A165" s="1" t="str">
        <v>500000173020</v>
      </c>
      <c r="B165" s="1" t="str">
        <f>_xlfn.XLOOKUP(A165,[1]!TabellaContenitori[PdR],[1]!TabellaContenitori[AET])</f>
        <v>PONTE GALERIA - PIANA DEL SOL</v>
      </c>
      <c r="C165" s="1" t="str">
        <f>_xlfn.XLOOKUP(A165,[1]!TabellaContenitori[PdR],[1]!TabellaContenitori[Numero civico])</f>
        <v>42</v>
      </c>
      <c r="D165" s="1" t="str">
        <f t="shared" si="4"/>
        <v>PONTE GALERIA - PIANA DEL SOL, 42, Roma</v>
      </c>
      <c r="E165" s="1" t="str">
        <f t="shared" si="5"/>
        <v>PONTE GALERIA - PIANA DEL SOL</v>
      </c>
      <c r="F165" s="1" t="str">
        <f>_xlfn.XLOOKUP(B165,[1]!Tabella_N_Assi[Indirizzo],[1]!Tabella_N_Assi[Tipo Mezzo Preferenziale],"non trovato")</f>
        <v>non trovato</v>
      </c>
      <c r="G165">
        <f>_xlfn.XLOOKUP(A165,[2]Sheet1!$A:$A,[2]Sheet1!$G:$G,"non trovato")</f>
        <v>41.828956900000001</v>
      </c>
      <c r="H165">
        <f>_xlfn.XLOOKUP(A165,[2]Sheet1!$A:$A,[2]Sheet1!$H:$H,"non trovato")</f>
        <v>12.3935312</v>
      </c>
    </row>
    <row r="166" spans="1:8" x14ac:dyDescent="0.25">
      <c r="A166" s="1" t="str">
        <v>500000173020</v>
      </c>
      <c r="B166" s="1" t="str">
        <f>_xlfn.XLOOKUP(A166,[1]!TabellaContenitori[PdR],[1]!TabellaContenitori[AET])</f>
        <v>PONTE GALERIA - PIANA DEL SOL</v>
      </c>
      <c r="C166" s="1" t="str">
        <f>_xlfn.XLOOKUP(A166,[1]!TabellaContenitori[PdR],[1]!TabellaContenitori[Numero civico])</f>
        <v>42</v>
      </c>
      <c r="D166" s="1" t="str">
        <f t="shared" si="4"/>
        <v>PONTE GALERIA - PIANA DEL SOL, 42, Roma</v>
      </c>
      <c r="E166" s="1" t="str">
        <f t="shared" si="5"/>
        <v>PONTE GALERIA - PIANA DEL SOL</v>
      </c>
      <c r="F166" s="1" t="str">
        <f>_xlfn.XLOOKUP(B166,[1]!Tabella_N_Assi[Indirizzo],[1]!Tabella_N_Assi[Tipo Mezzo Preferenziale],"non trovato")</f>
        <v>non trovato</v>
      </c>
      <c r="G166">
        <f>_xlfn.XLOOKUP(A166,[2]Sheet1!$A:$A,[2]Sheet1!$G:$G,"non trovato")</f>
        <v>41.828956900000001</v>
      </c>
      <c r="H166">
        <f>_xlfn.XLOOKUP(A166,[2]Sheet1!$A:$A,[2]Sheet1!$H:$H,"non trovato")</f>
        <v>12.3935312</v>
      </c>
    </row>
    <row r="167" spans="1:8" x14ac:dyDescent="0.25">
      <c r="A167" s="1" t="str">
        <v>500000205625</v>
      </c>
      <c r="B167" s="1" t="str">
        <f>_xlfn.XLOOKUP(A167,[1]!TabellaContenitori[PdR],[1]!TabellaContenitori[AET])</f>
        <v>TRULLO - MONTE DELLE CAPRE</v>
      </c>
      <c r="C167" s="1" t="str">
        <f>_xlfn.XLOOKUP(A167,[1]!TabellaContenitori[PdR],[1]!TabellaContenitori[Numero civico])</f>
        <v>39</v>
      </c>
      <c r="D167" s="1" t="str">
        <f t="shared" si="4"/>
        <v>TRULLO - MONTE DELLE CAPRE, 39, Roma</v>
      </c>
      <c r="E167" s="1" t="str">
        <f t="shared" si="5"/>
        <v>TRULLO - MONTE DELLE CAPRE</v>
      </c>
      <c r="F167" s="1" t="str">
        <f>_xlfn.XLOOKUP(B167,[1]!Tabella_N_Assi[Indirizzo],[1]!Tabella_N_Assi[Tipo Mezzo Preferenziale],"non trovato")</f>
        <v>non trovato</v>
      </c>
      <c r="G167">
        <f>_xlfn.XLOOKUP(A167,[2]Sheet1!$A:$A,[2]Sheet1!$G:$G,"non trovato")</f>
        <v>41.834994199999997</v>
      </c>
      <c r="H167">
        <f>_xlfn.XLOOKUP(A167,[2]Sheet1!$A:$A,[2]Sheet1!$H:$H,"non trovato")</f>
        <v>12.4303554</v>
      </c>
    </row>
    <row r="168" spans="1:8" x14ac:dyDescent="0.25">
      <c r="A168" s="1" t="str">
        <v>500000205650</v>
      </c>
      <c r="B168" s="1" t="str">
        <f>_xlfn.XLOOKUP(A168,[1]!TabellaContenitori[PdR],[1]!TabellaContenitori[AET])</f>
        <v>VIGNA PIA</v>
      </c>
      <c r="C168" s="1" t="str">
        <f>_xlfn.XLOOKUP(A168,[1]!TabellaContenitori[PdR],[1]!TabellaContenitori[Numero civico])</f>
        <v>11</v>
      </c>
      <c r="D168" s="1" t="str">
        <f t="shared" si="4"/>
        <v>VIGNA PIA, 11, Roma</v>
      </c>
      <c r="E168" s="1" t="str">
        <f t="shared" si="5"/>
        <v>VIGNA PIA</v>
      </c>
      <c r="F168" s="1" t="str">
        <f>_xlfn.XLOOKUP(B168,[1]!Tabella_N_Assi[Indirizzo],[1]!Tabella_N_Assi[Tipo Mezzo Preferenziale],"non trovato")</f>
        <v>non trovato</v>
      </c>
      <c r="G168">
        <f>_xlfn.XLOOKUP(A168,[2]Sheet1!$A:$A,[2]Sheet1!$G:$G,"non trovato")</f>
        <v>41.863948600000001</v>
      </c>
      <c r="H168">
        <f>_xlfn.XLOOKUP(A168,[2]Sheet1!$A:$A,[2]Sheet1!$H:$H,"non trovato")</f>
        <v>12.4598213</v>
      </c>
    </row>
    <row r="169" spans="1:8" x14ac:dyDescent="0.25">
      <c r="A169" s="1" t="str">
        <v>500000173021</v>
      </c>
      <c r="B169" s="1" t="str">
        <f>_xlfn.XLOOKUP(A169,[1]!TabellaContenitori[PdR],[1]!TabellaContenitori[AET])</f>
        <v>PONTE GALERIA - PIANA DEL SOL</v>
      </c>
      <c r="C169" s="1" t="str">
        <f>_xlfn.XLOOKUP(A169,[1]!TabellaContenitori[PdR],[1]!TabellaContenitori[Numero civico])</f>
        <v>42</v>
      </c>
      <c r="D169" s="1" t="str">
        <f t="shared" si="4"/>
        <v>PONTE GALERIA - PIANA DEL SOL, 42, Roma</v>
      </c>
      <c r="E169" s="1" t="str">
        <f t="shared" si="5"/>
        <v>PONTE GALERIA - PIANA DEL SOL</v>
      </c>
      <c r="F169" s="1" t="str">
        <f>_xlfn.XLOOKUP(B169,[1]!Tabella_N_Assi[Indirizzo],[1]!Tabella_N_Assi[Tipo Mezzo Preferenziale],"non trovato")</f>
        <v>non trovato</v>
      </c>
      <c r="G169">
        <f>_xlfn.XLOOKUP(A169,[2]Sheet1!$A:$A,[2]Sheet1!$G:$G,"non trovato")</f>
        <v>41.828956900000001</v>
      </c>
      <c r="H169">
        <f>_xlfn.XLOOKUP(A169,[2]Sheet1!$A:$A,[2]Sheet1!$H:$H,"non trovato")</f>
        <v>12.3935312</v>
      </c>
    </row>
    <row r="170" spans="1:8" x14ac:dyDescent="0.25">
      <c r="A170" s="1" t="str">
        <v>500000122348</v>
      </c>
      <c r="B170" s="1" t="str">
        <f>_xlfn.XLOOKUP(A170,[1]!TabellaContenitori[PdR],[1]!TabellaContenitori[AET])</f>
        <v>PONTE GALERIA - PIANA DEL SOL</v>
      </c>
      <c r="C170" s="1" t="str">
        <f>_xlfn.XLOOKUP(A170,[1]!TabellaContenitori[PdR],[1]!TabellaContenitori[Numero civico])</f>
        <v>16</v>
      </c>
      <c r="D170" s="1" t="str">
        <f t="shared" si="4"/>
        <v>PONTE GALERIA - PIANA DEL SOL, 16, Roma</v>
      </c>
      <c r="E170" s="1" t="str">
        <f t="shared" si="5"/>
        <v>PONTE GALERIA - PIANA DEL SOL</v>
      </c>
      <c r="F170" s="1" t="str">
        <f>_xlfn.XLOOKUP(B170,[1]!Tabella_N_Assi[Indirizzo],[1]!Tabella_N_Assi[Tipo Mezzo Preferenziale],"non trovato")</f>
        <v>non trovato</v>
      </c>
      <c r="G170">
        <f>_xlfn.XLOOKUP(A170,[2]Sheet1!$A:$A,[2]Sheet1!$G:$G,"non trovato")</f>
        <v>41.830034400000002</v>
      </c>
      <c r="H170">
        <f>_xlfn.XLOOKUP(A170,[2]Sheet1!$A:$A,[2]Sheet1!$H:$H,"non trovato")</f>
        <v>12.381682899999999</v>
      </c>
    </row>
    <row r="171" spans="1:8" x14ac:dyDescent="0.25">
      <c r="A171" s="1" t="str">
        <v>500000265650</v>
      </c>
      <c r="B171" s="1" t="str">
        <f>_xlfn.XLOOKUP(A171,[1]!TabellaContenitori[PdR],[1]!TabellaContenitori[AET])</f>
        <v>VIGNA PIA</v>
      </c>
      <c r="C171" s="1" t="str">
        <f>_xlfn.XLOOKUP(A171,[1]!TabellaContenitori[PdR],[1]!TabellaContenitori[Numero civico])</f>
        <v>6</v>
      </c>
      <c r="D171" s="1" t="str">
        <f t="shared" si="4"/>
        <v>VIGNA PIA, 6, Roma</v>
      </c>
      <c r="E171" s="1" t="str">
        <f t="shared" si="5"/>
        <v>VIGNA PIA</v>
      </c>
      <c r="F171" s="1" t="str">
        <f>_xlfn.XLOOKUP(B171,[1]!Tabella_N_Assi[Indirizzo],[1]!Tabella_N_Assi[Tipo Mezzo Preferenziale],"non trovato")</f>
        <v>non trovato</v>
      </c>
      <c r="G171">
        <f>_xlfn.XLOOKUP(A171,[2]Sheet1!$A:$A,[2]Sheet1!$G:$G,"non trovato")</f>
        <v>41.863948600000001</v>
      </c>
      <c r="H171">
        <f>_xlfn.XLOOKUP(A171,[2]Sheet1!$A:$A,[2]Sheet1!$H:$H,"non trovato")</f>
        <v>12.4598213</v>
      </c>
    </row>
    <row r="172" spans="1:8" x14ac:dyDescent="0.25">
      <c r="A172" s="1" t="str">
        <v>500000068604</v>
      </c>
      <c r="B172" s="1" t="str">
        <f>_xlfn.XLOOKUP(A172,[1]!TabellaContenitori[PdR],[1]!TabellaContenitori[AET])</f>
        <v>MARCONI</v>
      </c>
      <c r="C172" s="1" t="str">
        <f>_xlfn.XLOOKUP(A172,[1]!TabellaContenitori[PdR],[1]!TabellaContenitori[Numero civico])</f>
        <v>220</v>
      </c>
      <c r="D172" s="1" t="str">
        <f t="shared" si="4"/>
        <v>MARCONI, 220, Roma</v>
      </c>
      <c r="E172" s="1" t="str">
        <f t="shared" si="5"/>
        <v>MARCONI</v>
      </c>
      <c r="F172" s="1" t="str">
        <f>_xlfn.XLOOKUP(B172,[1]!Tabella_N_Assi[Indirizzo],[1]!Tabella_N_Assi[Tipo Mezzo Preferenziale],"non trovato")</f>
        <v>non trovato</v>
      </c>
      <c r="G172">
        <f>_xlfn.XLOOKUP(A172,[2]Sheet1!$A:$A,[2]Sheet1!$G:$G,"non trovato")</f>
        <v>41.864974500000002</v>
      </c>
      <c r="H172">
        <f>_xlfn.XLOOKUP(A172,[2]Sheet1!$A:$A,[2]Sheet1!$H:$H,"non trovato")</f>
        <v>12.468824400000001</v>
      </c>
    </row>
    <row r="173" spans="1:8" x14ac:dyDescent="0.25">
      <c r="A173" s="1" t="str">
        <v>500000020402</v>
      </c>
      <c r="B173" s="1" t="str">
        <f>_xlfn.XLOOKUP(A173,[1]!TabellaContenitori[PdR],[1]!TabellaContenitori[AET])</f>
        <v>FERMI</v>
      </c>
      <c r="C173" s="1" t="str">
        <f>_xlfn.XLOOKUP(A173,[1]!TabellaContenitori[PdR],[1]!TabellaContenitori[Numero civico])</f>
        <v>54</v>
      </c>
      <c r="D173" s="1" t="str">
        <f t="shared" si="4"/>
        <v>FERMI, 54, Roma</v>
      </c>
      <c r="E173" s="1" t="str">
        <f t="shared" si="5"/>
        <v>FERMI</v>
      </c>
      <c r="F173" s="1" t="str">
        <f>_xlfn.XLOOKUP(B173,[1]!Tabella_N_Assi[Indirizzo],[1]!Tabella_N_Assi[Tipo Mezzo Preferenziale],"non trovato")</f>
        <v>non trovato</v>
      </c>
      <c r="G173">
        <f>_xlfn.XLOOKUP(A173,[2]Sheet1!$A:$A,[2]Sheet1!$G:$G,"non trovato")</f>
        <v>41.863137000000002</v>
      </c>
      <c r="H173">
        <f>_xlfn.XLOOKUP(A173,[2]Sheet1!$A:$A,[2]Sheet1!$H:$H,"non trovato")</f>
        <v>12.4720189</v>
      </c>
    </row>
    <row r="174" spans="1:8" x14ac:dyDescent="0.25">
      <c r="A174" s="1" t="str">
        <v>500000016573</v>
      </c>
      <c r="B174" s="1" t="str">
        <f>_xlfn.XLOOKUP(A174,[1]!TabellaContenitori[PdR],[1]!TabellaContenitori[AET])</f>
        <v>FERMI</v>
      </c>
      <c r="C174" s="1" t="str">
        <f>_xlfn.XLOOKUP(A174,[1]!TabellaContenitori[PdR],[1]!TabellaContenitori[Numero civico])</f>
        <v>8</v>
      </c>
      <c r="D174" s="1" t="str">
        <f t="shared" si="4"/>
        <v>FERMI, 8, Roma</v>
      </c>
      <c r="E174" s="1" t="str">
        <f t="shared" si="5"/>
        <v>FERMI</v>
      </c>
      <c r="F174" s="1" t="str">
        <f>_xlfn.XLOOKUP(B174,[1]!Tabella_N_Assi[Indirizzo],[1]!Tabella_N_Assi[Tipo Mezzo Preferenziale],"non trovato")</f>
        <v>non trovato</v>
      </c>
      <c r="G174">
        <f>_xlfn.XLOOKUP(A174,[2]Sheet1!$A:$A,[2]Sheet1!$G:$G,"non trovato")</f>
        <v>41.871713300000003</v>
      </c>
      <c r="H174">
        <f>_xlfn.XLOOKUP(A174,[2]Sheet1!$A:$A,[2]Sheet1!$H:$H,"non trovato")</f>
        <v>12.470989599999999</v>
      </c>
    </row>
    <row r="175" spans="1:8" x14ac:dyDescent="0.25">
      <c r="A175" s="1" t="str">
        <v>500000016715</v>
      </c>
      <c r="B175" s="1" t="str">
        <f>_xlfn.XLOOKUP(A175,[1]!TabellaContenitori[PdR],[1]!TabellaContenitori[AET])</f>
        <v>MARCONI</v>
      </c>
      <c r="C175" s="1" t="str">
        <f>_xlfn.XLOOKUP(A175,[1]!TabellaContenitori[PdR],[1]!TabellaContenitori[Numero civico])</f>
        <v>45</v>
      </c>
      <c r="D175" s="1" t="str">
        <f t="shared" si="4"/>
        <v>MARCONI, 45, Roma</v>
      </c>
      <c r="E175" s="1" t="str">
        <f t="shared" si="5"/>
        <v>MARCONI</v>
      </c>
      <c r="F175" s="1" t="str">
        <f>_xlfn.XLOOKUP(B175,[1]!Tabella_N_Assi[Indirizzo],[1]!Tabella_N_Assi[Tipo Mezzo Preferenziale],"non trovato")</f>
        <v>non trovato</v>
      </c>
      <c r="G175">
        <f>_xlfn.XLOOKUP(A175,[2]Sheet1!$A:$A,[2]Sheet1!$G:$G,"non trovato")</f>
        <v>41.8621853</v>
      </c>
      <c r="H175">
        <f>_xlfn.XLOOKUP(A175,[2]Sheet1!$A:$A,[2]Sheet1!$H:$H,"non trovato")</f>
        <v>12.4689797</v>
      </c>
    </row>
    <row r="176" spans="1:8" x14ac:dyDescent="0.25">
      <c r="A176" s="1" t="str">
        <v>500000068594</v>
      </c>
      <c r="B176" s="1" t="str">
        <f>_xlfn.XLOOKUP(A176,[1]!TabellaContenitori[PdR],[1]!TabellaContenitori[AET])</f>
        <v>MARCONI</v>
      </c>
      <c r="C176" s="1" t="str">
        <f>_xlfn.XLOOKUP(A176,[1]!TabellaContenitori[PdR],[1]!TabellaContenitori[Numero civico])</f>
        <v>144</v>
      </c>
      <c r="D176" s="1" t="str">
        <f t="shared" si="4"/>
        <v>MARCONI, 144, Roma</v>
      </c>
      <c r="E176" s="1" t="str">
        <f t="shared" si="5"/>
        <v>MARCONI</v>
      </c>
      <c r="F176" s="1" t="str">
        <f>_xlfn.XLOOKUP(B176,[1]!Tabella_N_Assi[Indirizzo],[1]!Tabella_N_Assi[Tipo Mezzo Preferenziale],"non trovato")</f>
        <v>non trovato</v>
      </c>
      <c r="G176">
        <f>_xlfn.XLOOKUP(A176,[2]Sheet1!$A:$A,[2]Sheet1!$G:$G,"non trovato")</f>
        <v>41.866393500000001</v>
      </c>
      <c r="H176">
        <f>_xlfn.XLOOKUP(A176,[2]Sheet1!$A:$A,[2]Sheet1!$H:$H,"non trovato")</f>
        <v>12.468430700000001</v>
      </c>
    </row>
    <row r="177" spans="1:8" x14ac:dyDescent="0.25">
      <c r="A177" s="1" t="str">
        <v>500000012839</v>
      </c>
      <c r="B177" s="1" t="str">
        <f>_xlfn.XLOOKUP(A177,[1]!TabellaContenitori[PdR],[1]!TabellaContenitori[AET])</f>
        <v>FERMI</v>
      </c>
      <c r="C177" s="1" t="str">
        <f>_xlfn.XLOOKUP(A177,[1]!TabellaContenitori[PdR],[1]!TabellaContenitori[Numero civico])</f>
        <v>20</v>
      </c>
      <c r="D177" s="1" t="str">
        <f t="shared" si="4"/>
        <v>FERMI, 20, Roma</v>
      </c>
      <c r="E177" s="1" t="str">
        <f t="shared" si="5"/>
        <v>FERMI</v>
      </c>
      <c r="F177" s="1" t="str">
        <f>_xlfn.XLOOKUP(B177,[1]!Tabella_N_Assi[Indirizzo],[1]!Tabella_N_Assi[Tipo Mezzo Preferenziale],"non trovato")</f>
        <v>non trovato</v>
      </c>
      <c r="G177">
        <f>_xlfn.XLOOKUP(A177,[2]Sheet1!$A:$A,[2]Sheet1!$G:$G,"non trovato")</f>
        <v>41.8716948</v>
      </c>
      <c r="H177">
        <f>_xlfn.XLOOKUP(A177,[2]Sheet1!$A:$A,[2]Sheet1!$H:$H,"non trovato")</f>
        <v>12.468575400000001</v>
      </c>
    </row>
    <row r="178" spans="1:8" x14ac:dyDescent="0.25">
      <c r="A178" s="1" t="str">
        <v>500000068608</v>
      </c>
      <c r="B178" s="1" t="str">
        <f>_xlfn.XLOOKUP(A178,[1]!TabellaContenitori[PdR],[1]!TabellaContenitori[AET])</f>
        <v>MARCONI</v>
      </c>
      <c r="C178" s="1" t="str">
        <f>_xlfn.XLOOKUP(A178,[1]!TabellaContenitori[PdR],[1]!TabellaContenitori[Numero civico])</f>
        <v>258</v>
      </c>
      <c r="D178" s="1" t="str">
        <f t="shared" si="4"/>
        <v>MARCONI, 258, Roma</v>
      </c>
      <c r="E178" s="1" t="str">
        <f t="shared" si="5"/>
        <v>MARCONI</v>
      </c>
      <c r="F178" s="1" t="str">
        <f>_xlfn.XLOOKUP(B178,[1]!Tabella_N_Assi[Indirizzo],[1]!Tabella_N_Assi[Tipo Mezzo Preferenziale],"non trovato")</f>
        <v>non trovato</v>
      </c>
      <c r="G178">
        <f>_xlfn.XLOOKUP(A178,[2]Sheet1!$A:$A,[2]Sheet1!$G:$G,"non trovato")</f>
        <v>41.863117799999998</v>
      </c>
      <c r="H178">
        <f>_xlfn.XLOOKUP(A178,[2]Sheet1!$A:$A,[2]Sheet1!$H:$H,"non trovato")</f>
        <v>12.4693725</v>
      </c>
    </row>
    <row r="179" spans="1:8" x14ac:dyDescent="0.25">
      <c r="A179" s="1" t="str">
        <v>500000068608</v>
      </c>
      <c r="B179" s="1" t="str">
        <f>_xlfn.XLOOKUP(A179,[1]!TabellaContenitori[PdR],[1]!TabellaContenitori[AET])</f>
        <v>MARCONI</v>
      </c>
      <c r="C179" s="1" t="str">
        <f>_xlfn.XLOOKUP(A179,[1]!TabellaContenitori[PdR],[1]!TabellaContenitori[Numero civico])</f>
        <v>258</v>
      </c>
      <c r="D179" s="1" t="str">
        <f t="shared" si="4"/>
        <v>MARCONI, 258, Roma</v>
      </c>
      <c r="E179" s="1" t="str">
        <f t="shared" si="5"/>
        <v>MARCONI</v>
      </c>
      <c r="F179" s="1" t="str">
        <f>_xlfn.XLOOKUP(B179,[1]!Tabella_N_Assi[Indirizzo],[1]!Tabella_N_Assi[Tipo Mezzo Preferenziale],"non trovato")</f>
        <v>non trovato</v>
      </c>
      <c r="G179">
        <f>_xlfn.XLOOKUP(A179,[2]Sheet1!$A:$A,[2]Sheet1!$G:$G,"non trovato")</f>
        <v>41.863117799999998</v>
      </c>
      <c r="H179">
        <f>_xlfn.XLOOKUP(A179,[2]Sheet1!$A:$A,[2]Sheet1!$H:$H,"non trovato")</f>
        <v>12.4693725</v>
      </c>
    </row>
    <row r="180" spans="1:8" x14ac:dyDescent="0.25">
      <c r="A180" s="1" t="str">
        <v>500000073554</v>
      </c>
      <c r="B180" s="1" t="str">
        <f>_xlfn.XLOOKUP(A180,[1]!TabellaContenitori[PdR],[1]!TabellaContenitori[AET])</f>
        <v>FERMI</v>
      </c>
      <c r="C180" s="1" t="str">
        <f>_xlfn.XLOOKUP(A180,[1]!TabellaContenitori[PdR],[1]!TabellaContenitori[Numero civico])</f>
        <v>69</v>
      </c>
      <c r="D180" s="1" t="str">
        <f t="shared" si="4"/>
        <v>FERMI, 69, Roma</v>
      </c>
      <c r="E180" s="1" t="str">
        <f t="shared" si="5"/>
        <v>FERMI</v>
      </c>
      <c r="F180" s="1" t="str">
        <f>_xlfn.XLOOKUP(B180,[1]!Tabella_N_Assi[Indirizzo],[1]!Tabella_N_Assi[Tipo Mezzo Preferenziale],"non trovato")</f>
        <v>non trovato</v>
      </c>
      <c r="G180">
        <f>_xlfn.XLOOKUP(A180,[2]Sheet1!$A:$A,[2]Sheet1!$G:$G,"non trovato")</f>
        <v>41.8638707</v>
      </c>
      <c r="H180">
        <f>_xlfn.XLOOKUP(A180,[2]Sheet1!$A:$A,[2]Sheet1!$H:$H,"non trovato")</f>
        <v>12.4733328</v>
      </c>
    </row>
    <row r="181" spans="1:8" x14ac:dyDescent="0.25">
      <c r="A181" s="1" t="str">
        <v>500000068602</v>
      </c>
      <c r="B181" s="1" t="str">
        <f>_xlfn.XLOOKUP(A181,[1]!TabellaContenitori[PdR],[1]!TabellaContenitori[AET])</f>
        <v>MARCONI</v>
      </c>
      <c r="C181" s="1" t="str">
        <f>_xlfn.XLOOKUP(A181,[1]!TabellaContenitori[PdR],[1]!TabellaContenitori[Numero civico])</f>
        <v>193</v>
      </c>
      <c r="D181" s="1" t="str">
        <f t="shared" si="4"/>
        <v>MARCONI, 193, Roma</v>
      </c>
      <c r="E181" s="1" t="str">
        <f t="shared" si="5"/>
        <v>MARCONI</v>
      </c>
      <c r="F181" s="1" t="str">
        <f>_xlfn.XLOOKUP(B181,[1]!Tabella_N_Assi[Indirizzo],[1]!Tabella_N_Assi[Tipo Mezzo Preferenziale],"non trovato")</f>
        <v>non trovato</v>
      </c>
      <c r="G181">
        <f>_xlfn.XLOOKUP(A181,[2]Sheet1!$A:$A,[2]Sheet1!$G:$G,"non trovato")</f>
        <v>41.8652266</v>
      </c>
      <c r="H181">
        <f>_xlfn.XLOOKUP(A181,[2]Sheet1!$A:$A,[2]Sheet1!$H:$H,"non trovato")</f>
        <v>12.4692645</v>
      </c>
    </row>
    <row r="182" spans="1:8" x14ac:dyDescent="0.25">
      <c r="A182" s="1" t="str">
        <v>500000047224</v>
      </c>
      <c r="B182" s="1" t="str">
        <f>_xlfn.XLOOKUP(A182,[1]!TabellaContenitori[PdR],[1]!TabellaContenitori[AET])</f>
        <v>FERMI</v>
      </c>
      <c r="C182" s="1" t="str">
        <f>_xlfn.XLOOKUP(A182,[1]!TabellaContenitori[PdR],[1]!TabellaContenitori[Numero civico])</f>
        <v>42</v>
      </c>
      <c r="D182" s="1" t="str">
        <f t="shared" si="4"/>
        <v>FERMI, 42, Roma</v>
      </c>
      <c r="E182" s="1" t="str">
        <f t="shared" si="5"/>
        <v>FERMI</v>
      </c>
      <c r="F182" s="1" t="str">
        <f>_xlfn.XLOOKUP(B182,[1]!Tabella_N_Assi[Indirizzo],[1]!Tabella_N_Assi[Tipo Mezzo Preferenziale],"non trovato")</f>
        <v>non trovato</v>
      </c>
      <c r="G182">
        <f>_xlfn.XLOOKUP(A182,[2]Sheet1!$A:$A,[2]Sheet1!$G:$G,"non trovato")</f>
        <v>41.864571099999999</v>
      </c>
      <c r="H182">
        <f>_xlfn.XLOOKUP(A182,[2]Sheet1!$A:$A,[2]Sheet1!$H:$H,"non trovato")</f>
        <v>12.472239800000001</v>
      </c>
    </row>
    <row r="183" spans="1:8" x14ac:dyDescent="0.25">
      <c r="A183" s="1" t="str">
        <v>500000069613</v>
      </c>
      <c r="B183" s="1" t="str">
        <f>_xlfn.XLOOKUP(A183,[1]!TabellaContenitori[PdR],[1]!TabellaContenitori[AET])</f>
        <v>MARCONI</v>
      </c>
      <c r="C183" s="1" t="str">
        <f>_xlfn.XLOOKUP(A183,[1]!TabellaContenitori[PdR],[1]!TabellaContenitori[Numero civico])</f>
        <v>112</v>
      </c>
      <c r="D183" s="1" t="str">
        <f t="shared" si="4"/>
        <v>MARCONI, 112, Roma</v>
      </c>
      <c r="E183" s="1" t="str">
        <f t="shared" si="5"/>
        <v>MARCONI</v>
      </c>
      <c r="F183" s="1" t="str">
        <f>_xlfn.XLOOKUP(B183,[1]!Tabella_N_Assi[Indirizzo],[1]!Tabella_N_Assi[Tipo Mezzo Preferenziale],"non trovato")</f>
        <v>non trovato</v>
      </c>
      <c r="G183">
        <f>_xlfn.XLOOKUP(A183,[2]Sheet1!$A:$A,[2]Sheet1!$G:$G,"non trovato")</f>
        <v>41.861012600000002</v>
      </c>
      <c r="H183">
        <f>_xlfn.XLOOKUP(A183,[2]Sheet1!$A:$A,[2]Sheet1!$H:$H,"non trovato")</f>
        <v>12.465145700000001</v>
      </c>
    </row>
    <row r="184" spans="1:8" x14ac:dyDescent="0.25">
      <c r="A184" s="1" t="str">
        <v>500000064897</v>
      </c>
      <c r="B184" s="1" t="str">
        <f>_xlfn.XLOOKUP(A184,[1]!TabellaContenitori[PdR],[1]!TabellaContenitori[AET])</f>
        <v>ODERISI DA GUBBIO</v>
      </c>
      <c r="C184" s="1" t="str">
        <f>_xlfn.XLOOKUP(A184,[1]!TabellaContenitori[PdR],[1]!TabellaContenitori[Numero civico])</f>
        <v>21</v>
      </c>
      <c r="D184" s="1" t="str">
        <f t="shared" si="4"/>
        <v>ODERISI DA GUBBIO, 21, Roma</v>
      </c>
      <c r="E184" s="1" t="str">
        <f t="shared" si="5"/>
        <v>ODERISI DA GUBBIO</v>
      </c>
      <c r="F184" s="1" t="str">
        <f>_xlfn.XLOOKUP(B184,[1]!Tabella_N_Assi[Indirizzo],[1]!Tabella_N_Assi[Tipo Mezzo Preferenziale],"non trovato")</f>
        <v>non trovato</v>
      </c>
      <c r="G184">
        <f>_xlfn.XLOOKUP(A184,[2]Sheet1!$A:$A,[2]Sheet1!$G:$G,"non trovato")</f>
        <v>41.8640002</v>
      </c>
      <c r="H184">
        <f>_xlfn.XLOOKUP(A184,[2]Sheet1!$A:$A,[2]Sheet1!$H:$H,"non trovato")</f>
        <v>12.4665342</v>
      </c>
    </row>
    <row r="185" spans="1:8" x14ac:dyDescent="0.25">
      <c r="A185" s="1" t="str">
        <v>500000024168</v>
      </c>
      <c r="B185" s="1" t="str">
        <f>_xlfn.XLOOKUP(A185,[1]!TabellaContenitori[PdR],[1]!TabellaContenitori[AET])</f>
        <v>ODERISI DA GUBBIO</v>
      </c>
      <c r="C185" s="1" t="str">
        <f>_xlfn.XLOOKUP(A185,[1]!TabellaContenitori[PdR],[1]!TabellaContenitori[Numero civico])</f>
        <v>1</v>
      </c>
      <c r="D185" s="1" t="str">
        <f t="shared" si="4"/>
        <v>ODERISI DA GUBBIO, 1, Roma</v>
      </c>
      <c r="E185" s="1" t="str">
        <f t="shared" si="5"/>
        <v>ODERISI DA GUBBIO</v>
      </c>
      <c r="F185" s="1" t="str">
        <f>_xlfn.XLOOKUP(B185,[1]!Tabella_N_Assi[Indirizzo],[1]!Tabella_N_Assi[Tipo Mezzo Preferenziale],"non trovato")</f>
        <v>non trovato</v>
      </c>
      <c r="G185">
        <f>_xlfn.XLOOKUP(A185,[2]Sheet1!$A:$A,[2]Sheet1!$G:$G,"non trovato")</f>
        <v>41.867123999999997</v>
      </c>
      <c r="H185">
        <f>_xlfn.XLOOKUP(A185,[2]Sheet1!$A:$A,[2]Sheet1!$H:$H,"non trovato")</f>
        <v>12.467258899999999</v>
      </c>
    </row>
    <row r="186" spans="1:8" x14ac:dyDescent="0.25">
      <c r="A186" s="1" t="str">
        <v>500000055984</v>
      </c>
      <c r="B186" s="1" t="str">
        <f>_xlfn.XLOOKUP(A186,[1]!TabellaContenitori[PdR],[1]!TabellaContenitori[AET])</f>
        <v>ODERISI DA GUBBIO</v>
      </c>
      <c r="C186" s="1" t="str">
        <f>_xlfn.XLOOKUP(A186,[1]!TabellaContenitori[PdR],[1]!TabellaContenitori[Numero civico])</f>
        <v>149</v>
      </c>
      <c r="D186" s="1" t="str">
        <f t="shared" si="4"/>
        <v>ODERISI DA GUBBIO, 149, Roma</v>
      </c>
      <c r="E186" s="1" t="str">
        <f t="shared" si="5"/>
        <v>ODERISI DA GUBBIO</v>
      </c>
      <c r="F186" s="1" t="str">
        <f>_xlfn.XLOOKUP(B186,[1]!Tabella_N_Assi[Indirizzo],[1]!Tabella_N_Assi[Tipo Mezzo Preferenziale],"non trovato")</f>
        <v>non trovato</v>
      </c>
      <c r="G186">
        <f>_xlfn.XLOOKUP(A186,[2]Sheet1!$A:$A,[2]Sheet1!$G:$G,"non trovato")</f>
        <v>41.864790599999999</v>
      </c>
      <c r="H186">
        <f>_xlfn.XLOOKUP(A186,[2]Sheet1!$A:$A,[2]Sheet1!$H:$H,"non trovato")</f>
        <v>12.4679225</v>
      </c>
    </row>
    <row r="187" spans="1:8" x14ac:dyDescent="0.25">
      <c r="A187" s="1" t="str">
        <v>500000055979</v>
      </c>
      <c r="B187" s="1" t="str">
        <f>_xlfn.XLOOKUP(A187,[1]!TabellaContenitori[PdR],[1]!TabellaContenitori[AET])</f>
        <v>ODERISI DA GUBBIO</v>
      </c>
      <c r="C187" s="1" t="str">
        <f>_xlfn.XLOOKUP(A187,[1]!TabellaContenitori[PdR],[1]!TabellaContenitori[Numero civico])</f>
        <v>66</v>
      </c>
      <c r="D187" s="1" t="str">
        <f t="shared" si="4"/>
        <v>ODERISI DA GUBBIO, 66, Roma</v>
      </c>
      <c r="E187" s="1" t="str">
        <f t="shared" si="5"/>
        <v>ODERISI DA GUBBIO</v>
      </c>
      <c r="F187" s="1" t="str">
        <f>_xlfn.XLOOKUP(B187,[1]!Tabella_N_Assi[Indirizzo],[1]!Tabella_N_Assi[Tipo Mezzo Preferenziale],"non trovato")</f>
        <v>non trovato</v>
      </c>
      <c r="G187">
        <f>_xlfn.XLOOKUP(A187,[2]Sheet1!$A:$A,[2]Sheet1!$G:$G,"non trovato")</f>
        <v>41.864790599999999</v>
      </c>
      <c r="H187">
        <f>_xlfn.XLOOKUP(A187,[2]Sheet1!$A:$A,[2]Sheet1!$H:$H,"non trovato")</f>
        <v>12.4679225</v>
      </c>
    </row>
    <row r="188" spans="1:8" x14ac:dyDescent="0.25">
      <c r="A188" s="1" t="str">
        <v>500000087652</v>
      </c>
      <c r="B188" s="1" t="str">
        <f>_xlfn.XLOOKUP(A188,[1]!TabellaContenitori[PdR],[1]!TabellaContenitori[AET])</f>
        <v>ODERISI DA GUBBIO</v>
      </c>
      <c r="C188" s="1" t="str">
        <f>_xlfn.XLOOKUP(A188,[1]!TabellaContenitori[PdR],[1]!TabellaContenitori[Numero civico])</f>
        <v>191</v>
      </c>
      <c r="D188" s="1" t="str">
        <f t="shared" si="4"/>
        <v>ODERISI DA GUBBIO, 191, Roma</v>
      </c>
      <c r="E188" s="1" t="str">
        <f t="shared" si="5"/>
        <v>ODERISI DA GUBBIO</v>
      </c>
      <c r="F188" s="1" t="str">
        <f>_xlfn.XLOOKUP(B188,[1]!Tabella_N_Assi[Indirizzo],[1]!Tabella_N_Assi[Tipo Mezzo Preferenziale],"non trovato")</f>
        <v>non trovato</v>
      </c>
      <c r="G188">
        <f>_xlfn.XLOOKUP(A188,[2]Sheet1!$A:$A,[2]Sheet1!$G:$G,"non trovato")</f>
        <v>41.8635965</v>
      </c>
      <c r="H188">
        <f>_xlfn.XLOOKUP(A188,[2]Sheet1!$A:$A,[2]Sheet1!$H:$H,"non trovato")</f>
        <v>12.464426700000001</v>
      </c>
    </row>
    <row r="189" spans="1:8" x14ac:dyDescent="0.25">
      <c r="A189" s="1" t="str">
        <v>500000108176</v>
      </c>
      <c r="B189" s="1" t="str">
        <f>_xlfn.XLOOKUP(A189,[1]!TabellaContenitori[PdR],[1]!TabellaContenitori[AET])</f>
        <v>MAGLIANA NUOVA</v>
      </c>
      <c r="C189" s="1" t="str">
        <f>_xlfn.XLOOKUP(A189,[1]!TabellaContenitori[PdR],[1]!TabellaContenitori[Numero civico])</f>
        <v>99999</v>
      </c>
      <c r="D189" s="1" t="str">
        <f t="shared" si="4"/>
        <v>MAGLIANA NUOVA, 99999, Roma</v>
      </c>
      <c r="E189" s="1" t="str">
        <f t="shared" si="5"/>
        <v>MAGLIANA NUOVA</v>
      </c>
      <c r="F189" s="1" t="str">
        <f>_xlfn.XLOOKUP(B189,[1]!Tabella_N_Assi[Indirizzo],[1]!Tabella_N_Assi[Tipo Mezzo Preferenziale],"non trovato")</f>
        <v>non trovato</v>
      </c>
      <c r="G189">
        <f>_xlfn.XLOOKUP(A189,[2]Sheet1!$A:$A,[2]Sheet1!$G:$G,"non trovato")</f>
        <v>41.844023589998997</v>
      </c>
      <c r="H189">
        <f>_xlfn.XLOOKUP(A189,[2]Sheet1!$A:$A,[2]Sheet1!$H:$H,"non trovato")</f>
        <v>12.458429349998999</v>
      </c>
    </row>
    <row r="190" spans="1:8" x14ac:dyDescent="0.25">
      <c r="A190" s="1" t="str">
        <v>500000047130</v>
      </c>
      <c r="B190" s="1" t="str">
        <f>_xlfn.XLOOKUP(A190,[1]!TabellaContenitori[PdR],[1]!TabellaContenitori[AET])</f>
        <v>VIGNA PIA</v>
      </c>
      <c r="C190" s="1" t="str">
        <f>_xlfn.XLOOKUP(A190,[1]!TabellaContenitori[PdR],[1]!TabellaContenitori[Numero civico])</f>
        <v>49</v>
      </c>
      <c r="D190" s="1" t="str">
        <f t="shared" si="4"/>
        <v>VIGNA PIA, 49, Roma</v>
      </c>
      <c r="E190" s="1" t="str">
        <f t="shared" si="5"/>
        <v>VIGNA PIA</v>
      </c>
      <c r="F190" s="1" t="str">
        <f>_xlfn.XLOOKUP(B190,[1]!Tabella_N_Assi[Indirizzo],[1]!Tabella_N_Assi[Tipo Mezzo Preferenziale],"non trovato")</f>
        <v>non trovato</v>
      </c>
      <c r="G190">
        <f>_xlfn.XLOOKUP(A190,[2]Sheet1!$A:$A,[2]Sheet1!$G:$G,"non trovato")</f>
        <v>41.859523299999999</v>
      </c>
      <c r="H190">
        <f>_xlfn.XLOOKUP(A190,[2]Sheet1!$A:$A,[2]Sheet1!$H:$H,"non trovato")</f>
        <v>12.4548323</v>
      </c>
    </row>
    <row r="191" spans="1:8" x14ac:dyDescent="0.25">
      <c r="A191" s="1" t="str">
        <v>500000047635</v>
      </c>
      <c r="B191" s="1" t="str">
        <f>_xlfn.XLOOKUP(A191,[1]!TabellaContenitori[PdR],[1]!TabellaContenitori[AET])</f>
        <v>VIGNA PIA</v>
      </c>
      <c r="C191" s="1" t="str">
        <f>_xlfn.XLOOKUP(A191,[1]!TabellaContenitori[PdR],[1]!TabellaContenitori[Numero civico])</f>
        <v>8</v>
      </c>
      <c r="D191" s="1" t="str">
        <f t="shared" si="4"/>
        <v>VIGNA PIA, 8, Roma</v>
      </c>
      <c r="E191" s="1" t="str">
        <f t="shared" si="5"/>
        <v>VIGNA PIA</v>
      </c>
      <c r="F191" s="1" t="str">
        <f>_xlfn.XLOOKUP(B191,[1]!Tabella_N_Assi[Indirizzo],[1]!Tabella_N_Assi[Tipo Mezzo Preferenziale],"non trovato")</f>
        <v>non trovato</v>
      </c>
      <c r="G191">
        <f>_xlfn.XLOOKUP(A191,[2]Sheet1!$A:$A,[2]Sheet1!$G:$G,"non trovato")</f>
        <v>41.861187999999999</v>
      </c>
      <c r="H191">
        <f>_xlfn.XLOOKUP(A191,[2]Sheet1!$A:$A,[2]Sheet1!$H:$H,"non trovato")</f>
        <v>12.4532439</v>
      </c>
    </row>
    <row r="192" spans="1:8" x14ac:dyDescent="0.25">
      <c r="A192" s="1" t="str">
        <v>500000099775</v>
      </c>
      <c r="B192" s="1" t="str">
        <f>_xlfn.XLOOKUP(A192,[1]!TabellaContenitori[PdR],[1]!TabellaContenitori[AET])</f>
        <v>FRATTINI</v>
      </c>
      <c r="C192" s="1" t="str">
        <f>_xlfn.XLOOKUP(A192,[1]!TabellaContenitori[PdR],[1]!TabellaContenitori[Numero civico])</f>
        <v>60</v>
      </c>
      <c r="D192" s="1" t="str">
        <f t="shared" si="4"/>
        <v>FRATTINI, 60, Roma</v>
      </c>
      <c r="E192" s="1" t="str">
        <f t="shared" si="5"/>
        <v>FRATTINI</v>
      </c>
      <c r="F192" s="1" t="str">
        <f>_xlfn.XLOOKUP(B192,[1]!Tabella_N_Assi[Indirizzo],[1]!Tabella_N_Assi[Tipo Mezzo Preferenziale],"non trovato")</f>
        <v>non trovato</v>
      </c>
      <c r="G192">
        <f>_xlfn.XLOOKUP(A192,[2]Sheet1!$A:$A,[2]Sheet1!$G:$G,"non trovato")</f>
        <v>41.855813499999996</v>
      </c>
      <c r="H192">
        <f>_xlfn.XLOOKUP(A192,[2]Sheet1!$A:$A,[2]Sheet1!$H:$H,"non trovato")</f>
        <v>12.450601900000001</v>
      </c>
    </row>
    <row r="193" spans="1:8" x14ac:dyDescent="0.25">
      <c r="A193" s="1" t="str">
        <v>500000094514</v>
      </c>
      <c r="B193" s="1" t="str">
        <f>_xlfn.XLOOKUP(A193,[1]!TabellaContenitori[PdR],[1]!TabellaContenitori[AET])</f>
        <v>FRATTINI</v>
      </c>
      <c r="C193" s="1" t="str">
        <f>_xlfn.XLOOKUP(A193,[1]!TabellaContenitori[PdR],[1]!TabellaContenitori[Numero civico])</f>
        <v>277</v>
      </c>
      <c r="D193" s="1" t="str">
        <f t="shared" si="4"/>
        <v>FRATTINI, 277, Roma</v>
      </c>
      <c r="E193" s="1" t="str">
        <f t="shared" si="5"/>
        <v>FRATTINI</v>
      </c>
      <c r="F193" s="1" t="str">
        <f>_xlfn.XLOOKUP(B193,[1]!Tabella_N_Assi[Indirizzo],[1]!Tabella_N_Assi[Tipo Mezzo Preferenziale],"non trovato")</f>
        <v>non trovato</v>
      </c>
      <c r="G193">
        <f>_xlfn.XLOOKUP(A193,[2]Sheet1!$A:$A,[2]Sheet1!$G:$G,"non trovato")</f>
        <v>41.853628999999998</v>
      </c>
      <c r="H193">
        <f>_xlfn.XLOOKUP(A193,[2]Sheet1!$A:$A,[2]Sheet1!$H:$H,"non trovato")</f>
        <v>12.4476464</v>
      </c>
    </row>
    <row r="194" spans="1:8" x14ac:dyDescent="0.25">
      <c r="A194" s="1" t="str">
        <v>500000071807</v>
      </c>
      <c r="B194" s="1" t="str">
        <f>_xlfn.XLOOKUP(A194,[1]!TabellaContenitori[PdR],[1]!TabellaContenitori[AET])</f>
        <v>VIGNA PIA</v>
      </c>
      <c r="C194" s="1" t="str">
        <f>_xlfn.XLOOKUP(A194,[1]!TabellaContenitori[PdR],[1]!TabellaContenitori[Numero civico])</f>
        <v>124</v>
      </c>
      <c r="D194" s="1" t="str">
        <f t="shared" si="4"/>
        <v>VIGNA PIA, 124, Roma</v>
      </c>
      <c r="E194" s="1" t="str">
        <f t="shared" si="5"/>
        <v>VIGNA PIA</v>
      </c>
      <c r="F194" s="1" t="str">
        <f>_xlfn.XLOOKUP(B194,[1]!Tabella_N_Assi[Indirizzo],[1]!Tabella_N_Assi[Tipo Mezzo Preferenziale],"non trovato")</f>
        <v>non trovato</v>
      </c>
      <c r="G194">
        <f>_xlfn.XLOOKUP(A194,[2]Sheet1!$A:$A,[2]Sheet1!$G:$G,"non trovato")</f>
        <v>41.863008100000002</v>
      </c>
      <c r="H194">
        <f>_xlfn.XLOOKUP(A194,[2]Sheet1!$A:$A,[2]Sheet1!$H:$H,"non trovato")</f>
        <v>12.459636400000001</v>
      </c>
    </row>
    <row r="195" spans="1:8" x14ac:dyDescent="0.25">
      <c r="A195" s="1" t="str">
        <v>500000093869</v>
      </c>
      <c r="B195" s="1" t="str">
        <f>_xlfn.XLOOKUP(A195,[1]!TabellaContenitori[PdR],[1]!TabellaContenitori[AET])</f>
        <v>FRATTINI</v>
      </c>
      <c r="C195" s="1" t="str">
        <f>_xlfn.XLOOKUP(A195,[1]!TabellaContenitori[PdR],[1]!TabellaContenitori[Numero civico])</f>
        <v>12</v>
      </c>
      <c r="D195" s="1" t="str">
        <f t="shared" ref="D195:D258" si="6">CONCATENATE(B195,", ",C195,", Roma")</f>
        <v>FRATTINI, 12, Roma</v>
      </c>
      <c r="E195" s="1" t="str">
        <f t="shared" ref="E195:E258" si="7">_xlfn.TEXTBEFORE(D195,",")</f>
        <v>FRATTINI</v>
      </c>
      <c r="F195" s="1" t="str">
        <f>_xlfn.XLOOKUP(B195,[1]!Tabella_N_Assi[Indirizzo],[1]!Tabella_N_Assi[Tipo Mezzo Preferenziale],"non trovato")</f>
        <v>non trovato</v>
      </c>
      <c r="G195">
        <f>_xlfn.XLOOKUP(A195,[2]Sheet1!$A:$A,[2]Sheet1!$G:$G,"non trovato")</f>
        <v>41.8545655</v>
      </c>
      <c r="H195">
        <f>_xlfn.XLOOKUP(A195,[2]Sheet1!$A:$A,[2]Sheet1!$H:$H,"non trovato")</f>
        <v>12.452363</v>
      </c>
    </row>
    <row r="196" spans="1:8" x14ac:dyDescent="0.25">
      <c r="A196" s="1" t="str">
        <v>500000069907</v>
      </c>
      <c r="B196" s="1" t="str">
        <f>_xlfn.XLOOKUP(A196,[1]!TabellaContenitori[PdR],[1]!TabellaContenitori[AET])</f>
        <v>PORTUENSE</v>
      </c>
      <c r="C196" s="1" t="str">
        <f>_xlfn.XLOOKUP(A196,[1]!TabellaContenitori[PdR],[1]!TabellaContenitori[Numero civico])</f>
        <v>99999</v>
      </c>
      <c r="D196" s="1" t="str">
        <f t="shared" si="6"/>
        <v>PORTUENSE, 99999, Roma</v>
      </c>
      <c r="E196" s="1" t="str">
        <f t="shared" si="7"/>
        <v>PORTUENSE</v>
      </c>
      <c r="F196" s="1" t="str">
        <f>_xlfn.XLOOKUP(B196,[1]!Tabella_N_Assi[Indirizzo],[1]!Tabella_N_Assi[Tipo Mezzo Preferenziale],"non trovato")</f>
        <v>non trovato</v>
      </c>
      <c r="G196">
        <f>_xlfn.XLOOKUP(A196,[2]Sheet1!$A:$A,[2]Sheet1!$G:$G,"non trovato")</f>
        <v>41.858709050000002</v>
      </c>
      <c r="H196">
        <f>_xlfn.XLOOKUP(A196,[2]Sheet1!$A:$A,[2]Sheet1!$H:$H,"non trovato")</f>
        <v>12.449606810000001</v>
      </c>
    </row>
    <row r="197" spans="1:8" x14ac:dyDescent="0.25">
      <c r="A197" s="1" t="str">
        <v>500000097796</v>
      </c>
      <c r="B197" s="1" t="str">
        <f>_xlfn.XLOOKUP(A197,[1]!TabellaContenitori[PdR],[1]!TabellaContenitori[AET])</f>
        <v>PORTUENSE</v>
      </c>
      <c r="C197" s="1" t="str">
        <f>_xlfn.XLOOKUP(A197,[1]!TabellaContenitori[PdR],[1]!TabellaContenitori[Numero civico])</f>
        <v>439</v>
      </c>
      <c r="D197" s="1" t="str">
        <f t="shared" si="6"/>
        <v>PORTUENSE, 439, Roma</v>
      </c>
      <c r="E197" s="1" t="str">
        <f t="shared" si="7"/>
        <v>PORTUENSE</v>
      </c>
      <c r="F197" s="1" t="str">
        <f>_xlfn.XLOOKUP(B197,[1]!Tabella_N_Assi[Indirizzo],[1]!Tabella_N_Assi[Tipo Mezzo Preferenziale],"non trovato")</f>
        <v>non trovato</v>
      </c>
      <c r="G197">
        <f>_xlfn.XLOOKUP(A197,[2]Sheet1!$A:$A,[2]Sheet1!$G:$G,"non trovato")</f>
        <v>41.870518400000002</v>
      </c>
      <c r="H197">
        <f>_xlfn.XLOOKUP(A197,[2]Sheet1!$A:$A,[2]Sheet1!$H:$H,"non trovato")</f>
        <v>12.4653882</v>
      </c>
    </row>
    <row r="198" spans="1:8" x14ac:dyDescent="0.25">
      <c r="A198" s="1" t="str">
        <v>500000100616</v>
      </c>
      <c r="B198" s="1" t="str">
        <f>_xlfn.XLOOKUP(A198,[1]!TabellaContenitori[PdR],[1]!TabellaContenitori[AET])</f>
        <v>PORTUENSE</v>
      </c>
      <c r="C198" s="1" t="str">
        <f>_xlfn.XLOOKUP(A198,[1]!TabellaContenitori[PdR],[1]!TabellaContenitori[Numero civico])</f>
        <v>156</v>
      </c>
      <c r="D198" s="1" t="str">
        <f t="shared" si="6"/>
        <v>PORTUENSE, 156, Roma</v>
      </c>
      <c r="E198" s="1" t="str">
        <f t="shared" si="7"/>
        <v>PORTUENSE</v>
      </c>
      <c r="F198" s="1" t="str">
        <f>_xlfn.XLOOKUP(B198,[1]!Tabella_N_Assi[Indirizzo],[1]!Tabella_N_Assi[Tipo Mezzo Preferenziale],"non trovato")</f>
        <v>non trovato</v>
      </c>
      <c r="G198">
        <f>_xlfn.XLOOKUP(A198,[2]Sheet1!$A:$A,[2]Sheet1!$G:$G,"non trovato")</f>
        <v>41.867226500000001</v>
      </c>
      <c r="H198">
        <f>_xlfn.XLOOKUP(A198,[2]Sheet1!$A:$A,[2]Sheet1!$H:$H,"non trovato")</f>
        <v>12.4627888</v>
      </c>
    </row>
    <row r="199" spans="1:8" x14ac:dyDescent="0.25">
      <c r="A199" s="1" t="str">
        <v>500000063883</v>
      </c>
      <c r="B199" s="1" t="str">
        <f>_xlfn.XLOOKUP(A199,[1]!TabellaContenitori[PdR],[1]!TabellaContenitori[AET])</f>
        <v>PORTUENSE</v>
      </c>
      <c r="C199" s="1" t="str">
        <f>_xlfn.XLOOKUP(A199,[1]!TabellaContenitori[PdR],[1]!TabellaContenitori[Numero civico])</f>
        <v>11</v>
      </c>
      <c r="D199" s="1" t="str">
        <f t="shared" si="6"/>
        <v>PORTUENSE, 11, Roma</v>
      </c>
      <c r="E199" s="1" t="str">
        <f t="shared" si="7"/>
        <v>PORTUENSE</v>
      </c>
      <c r="F199" s="1" t="str">
        <f>_xlfn.XLOOKUP(B199,[1]!Tabella_N_Assi[Indirizzo],[1]!Tabella_N_Assi[Tipo Mezzo Preferenziale],"non trovato")</f>
        <v>non trovato</v>
      </c>
      <c r="G199">
        <f>_xlfn.XLOOKUP(A199,[2]Sheet1!$A:$A,[2]Sheet1!$G:$G,"non trovato")</f>
        <v>41.871101799999998</v>
      </c>
      <c r="H199">
        <f>_xlfn.XLOOKUP(A199,[2]Sheet1!$A:$A,[2]Sheet1!$H:$H,"non trovato")</f>
        <v>12.4676934</v>
      </c>
    </row>
    <row r="200" spans="1:8" x14ac:dyDescent="0.25">
      <c r="A200" s="1" t="str">
        <v>500000063881</v>
      </c>
      <c r="B200" s="1" t="str">
        <f>_xlfn.XLOOKUP(A200,[1]!TabellaContenitori[PdR],[1]!TabellaContenitori[AET])</f>
        <v>PORTUENSE</v>
      </c>
      <c r="C200" s="1" t="str">
        <f>_xlfn.XLOOKUP(A200,[1]!TabellaContenitori[PdR],[1]!TabellaContenitori[Numero civico])</f>
        <v>2</v>
      </c>
      <c r="D200" s="1" t="str">
        <f t="shared" si="6"/>
        <v>PORTUENSE, 2, Roma</v>
      </c>
      <c r="E200" s="1" t="str">
        <f t="shared" si="7"/>
        <v>PORTUENSE</v>
      </c>
      <c r="F200" s="1" t="str">
        <f>_xlfn.XLOOKUP(B200,[1]!Tabella_N_Assi[Indirizzo],[1]!Tabella_N_Assi[Tipo Mezzo Preferenziale],"non trovato")</f>
        <v>non trovato</v>
      </c>
      <c r="G200">
        <f>_xlfn.XLOOKUP(A200,[2]Sheet1!$A:$A,[2]Sheet1!$G:$G,"non trovato")</f>
        <v>41.871101799999998</v>
      </c>
      <c r="H200">
        <f>_xlfn.XLOOKUP(A200,[2]Sheet1!$A:$A,[2]Sheet1!$H:$H,"non trovato")</f>
        <v>12.4676934</v>
      </c>
    </row>
    <row r="201" spans="1:8" x14ac:dyDescent="0.25">
      <c r="A201" s="1" t="str">
        <v>500000066504</v>
      </c>
      <c r="B201" s="1" t="str">
        <f>_xlfn.XLOOKUP(A201,[1]!TabellaContenitori[PdR],[1]!TabellaContenitori[AET])</f>
        <v>PORTUENSE</v>
      </c>
      <c r="C201" s="1" t="str">
        <f>_xlfn.XLOOKUP(A201,[1]!TabellaContenitori[PdR],[1]!TabellaContenitori[Numero civico])</f>
        <v>5</v>
      </c>
      <c r="D201" s="1" t="str">
        <f t="shared" si="6"/>
        <v>PORTUENSE, 5, Roma</v>
      </c>
      <c r="E201" s="1" t="str">
        <f t="shared" si="7"/>
        <v>PORTUENSE</v>
      </c>
      <c r="F201" s="1" t="str">
        <f>_xlfn.XLOOKUP(B201,[1]!Tabella_N_Assi[Indirizzo],[1]!Tabella_N_Assi[Tipo Mezzo Preferenziale],"non trovato")</f>
        <v>non trovato</v>
      </c>
      <c r="G201">
        <f>_xlfn.XLOOKUP(A201,[2]Sheet1!$A:$A,[2]Sheet1!$G:$G,"non trovato")</f>
        <v>41.858622699999998</v>
      </c>
      <c r="H201">
        <f>_xlfn.XLOOKUP(A201,[2]Sheet1!$A:$A,[2]Sheet1!$H:$H,"non trovato")</f>
        <v>12.452030199999999</v>
      </c>
    </row>
    <row r="202" spans="1:8" x14ac:dyDescent="0.25">
      <c r="A202" s="1" t="str">
        <v>500000075909</v>
      </c>
      <c r="B202" s="1" t="str">
        <f>_xlfn.XLOOKUP(A202,[1]!TabellaContenitori[PdR],[1]!TabellaContenitori[AET])</f>
        <v>MAGLIANA</v>
      </c>
      <c r="C202" s="1" t="str">
        <f>_xlfn.XLOOKUP(A202,[1]!TabellaContenitori[PdR],[1]!TabellaContenitori[Numero civico])</f>
        <v>238</v>
      </c>
      <c r="D202" s="1" t="str">
        <f t="shared" si="6"/>
        <v>MAGLIANA, 238, Roma</v>
      </c>
      <c r="E202" s="1" t="str">
        <f t="shared" si="7"/>
        <v>MAGLIANA</v>
      </c>
      <c r="F202" s="1" t="str">
        <f>_xlfn.XLOOKUP(B202,[1]!Tabella_N_Assi[Indirizzo],[1]!Tabella_N_Assi[Tipo Mezzo Preferenziale],"non trovato")</f>
        <v>non trovato</v>
      </c>
      <c r="G202">
        <f>_xlfn.XLOOKUP(A202,[2]Sheet1!$A:$A,[2]Sheet1!$G:$G,"non trovato")</f>
        <v>41.821498800000001</v>
      </c>
      <c r="H202">
        <f>_xlfn.XLOOKUP(A202,[2]Sheet1!$A:$A,[2]Sheet1!$H:$H,"non trovato")</f>
        <v>12.394792799999999</v>
      </c>
    </row>
    <row r="203" spans="1:8" x14ac:dyDescent="0.25">
      <c r="A203" s="1" t="str">
        <v>500000093220</v>
      </c>
      <c r="B203" s="1" t="str">
        <f>_xlfn.XLOOKUP(A203,[1]!TabellaContenitori[PdR],[1]!TabellaContenitori[AET])</f>
        <v>MAGLIANA NUOVA</v>
      </c>
      <c r="C203" s="1" t="str">
        <f>_xlfn.XLOOKUP(A203,[1]!TabellaContenitori[PdR],[1]!TabellaContenitori[Numero civico])</f>
        <v>10</v>
      </c>
      <c r="D203" s="1" t="str">
        <f t="shared" si="6"/>
        <v>MAGLIANA NUOVA, 10, Roma</v>
      </c>
      <c r="E203" s="1" t="str">
        <f t="shared" si="7"/>
        <v>MAGLIANA NUOVA</v>
      </c>
      <c r="F203" s="1" t="str">
        <f>_xlfn.XLOOKUP(B203,[1]!Tabella_N_Assi[Indirizzo],[1]!Tabella_N_Assi[Tipo Mezzo Preferenziale],"non trovato")</f>
        <v>non trovato</v>
      </c>
      <c r="G203">
        <f>_xlfn.XLOOKUP(A203,[2]Sheet1!$A:$A,[2]Sheet1!$G:$G,"non trovato")</f>
        <v>41.849848999999999</v>
      </c>
      <c r="H203">
        <f>_xlfn.XLOOKUP(A203,[2]Sheet1!$A:$A,[2]Sheet1!$H:$H,"non trovato")</f>
        <v>12.4611266</v>
      </c>
    </row>
    <row r="204" spans="1:8" x14ac:dyDescent="0.25">
      <c r="A204" s="1" t="str">
        <v>500000160152</v>
      </c>
      <c r="B204" s="1" t="str">
        <f>_xlfn.XLOOKUP(A204,[1]!TabellaContenitori[PdR],[1]!TabellaContenitori[AET])</f>
        <v>PONTE GALERIA - PIANA DEL SOL</v>
      </c>
      <c r="C204" s="1" t="str">
        <f>_xlfn.XLOOKUP(A204,[1]!TabellaContenitori[PdR],[1]!TabellaContenitori[Numero civico])</f>
        <v>101</v>
      </c>
      <c r="D204" s="1" t="str">
        <f t="shared" si="6"/>
        <v>PONTE GALERIA - PIANA DEL SOL, 101, Roma</v>
      </c>
      <c r="E204" s="1" t="str">
        <f t="shared" si="7"/>
        <v>PONTE GALERIA - PIANA DEL SOL</v>
      </c>
      <c r="F204" s="1" t="str">
        <f>_xlfn.XLOOKUP(B204,[1]!Tabella_N_Assi[Indirizzo],[1]!Tabella_N_Assi[Tipo Mezzo Preferenziale],"non trovato")</f>
        <v>non trovato</v>
      </c>
      <c r="G204">
        <f>_xlfn.XLOOKUP(A204,[2]Sheet1!$A:$A,[2]Sheet1!$G:$G,"non trovato")</f>
        <v>41.832974800000002</v>
      </c>
      <c r="H204">
        <f>_xlfn.XLOOKUP(A204,[2]Sheet1!$A:$A,[2]Sheet1!$H:$H,"non trovato")</f>
        <v>12.411088599999999</v>
      </c>
    </row>
    <row r="205" spans="1:8" x14ac:dyDescent="0.25">
      <c r="A205" s="1" t="str">
        <v>500000160152</v>
      </c>
      <c r="B205" s="1" t="str">
        <f>_xlfn.XLOOKUP(A205,[1]!TabellaContenitori[PdR],[1]!TabellaContenitori[AET])</f>
        <v>PONTE GALERIA - PIANA DEL SOL</v>
      </c>
      <c r="C205" s="1" t="str">
        <f>_xlfn.XLOOKUP(A205,[1]!TabellaContenitori[PdR],[1]!TabellaContenitori[Numero civico])</f>
        <v>101</v>
      </c>
      <c r="D205" s="1" t="str">
        <f t="shared" si="6"/>
        <v>PONTE GALERIA - PIANA DEL SOL, 101, Roma</v>
      </c>
      <c r="E205" s="1" t="str">
        <f t="shared" si="7"/>
        <v>PONTE GALERIA - PIANA DEL SOL</v>
      </c>
      <c r="F205" s="1" t="str">
        <f>_xlfn.XLOOKUP(B205,[1]!Tabella_N_Assi[Indirizzo],[1]!Tabella_N_Assi[Tipo Mezzo Preferenziale],"non trovato")</f>
        <v>non trovato</v>
      </c>
      <c r="G205">
        <f>_xlfn.XLOOKUP(A205,[2]Sheet1!$A:$A,[2]Sheet1!$G:$G,"non trovato")</f>
        <v>41.832974800000002</v>
      </c>
      <c r="H205">
        <f>_xlfn.XLOOKUP(A205,[2]Sheet1!$A:$A,[2]Sheet1!$H:$H,"non trovato")</f>
        <v>12.411088599999999</v>
      </c>
    </row>
    <row r="206" spans="1:8" x14ac:dyDescent="0.25">
      <c r="A206" s="1" t="str">
        <v>500000039409</v>
      </c>
      <c r="B206" s="1" t="str">
        <f>_xlfn.XLOOKUP(A206,[1]!TabellaContenitori[PdR],[1]!TabellaContenitori[AET])</f>
        <v>MAGLIANA NUOVA</v>
      </c>
      <c r="C206" s="1" t="str">
        <f>_xlfn.XLOOKUP(A206,[1]!TabellaContenitori[PdR],[1]!TabellaContenitori[Numero civico])</f>
        <v>51</v>
      </c>
      <c r="D206" s="1" t="str">
        <f t="shared" si="6"/>
        <v>MAGLIANA NUOVA, 51, Roma</v>
      </c>
      <c r="E206" s="1" t="str">
        <f t="shared" si="7"/>
        <v>MAGLIANA NUOVA</v>
      </c>
      <c r="F206" s="1" t="str">
        <f>_xlfn.XLOOKUP(B206,[1]!Tabella_N_Assi[Indirizzo],[1]!Tabella_N_Assi[Tipo Mezzo Preferenziale],"non trovato")</f>
        <v>non trovato</v>
      </c>
      <c r="G206">
        <f>_xlfn.XLOOKUP(A206,[2]Sheet1!$A:$A,[2]Sheet1!$G:$G,"non trovato")</f>
        <v>41.845775000000003</v>
      </c>
      <c r="H206">
        <f>_xlfn.XLOOKUP(A206,[2]Sheet1!$A:$A,[2]Sheet1!$H:$H,"non trovato")</f>
        <v>12.457798500000001</v>
      </c>
    </row>
    <row r="207" spans="1:8" x14ac:dyDescent="0.25">
      <c r="A207" s="1" t="str">
        <v>500000120330</v>
      </c>
      <c r="B207" s="1" t="str">
        <f>_xlfn.XLOOKUP(A207,[1]!TabellaContenitori[PdR],[1]!TabellaContenitori[AET])</f>
        <v>TRULLO - MONTE CUCCO</v>
      </c>
      <c r="C207" s="1" t="str">
        <f>_xlfn.XLOOKUP(A207,[1]!TabellaContenitori[PdR],[1]!TabellaContenitori[Numero civico])</f>
        <v>243</v>
      </c>
      <c r="D207" s="1" t="str">
        <f t="shared" si="6"/>
        <v>TRULLO - MONTE CUCCO, 243, Roma</v>
      </c>
      <c r="E207" s="1" t="str">
        <f t="shared" si="7"/>
        <v>TRULLO - MONTE CUCCO</v>
      </c>
      <c r="F207" s="1" t="str">
        <f>_xlfn.XLOOKUP(B207,[1]!Tabella_N_Assi[Indirizzo],[1]!Tabella_N_Assi[Tipo Mezzo Preferenziale],"non trovato")</f>
        <v>non trovato</v>
      </c>
      <c r="G207">
        <f>_xlfn.XLOOKUP(A207,[2]Sheet1!$A:$A,[2]Sheet1!$G:$G,"non trovato")</f>
        <v>41.8431517</v>
      </c>
      <c r="H207">
        <f>_xlfn.XLOOKUP(A207,[2]Sheet1!$A:$A,[2]Sheet1!$H:$H,"non trovato")</f>
        <v>12.436747499999999</v>
      </c>
    </row>
    <row r="208" spans="1:8" x14ac:dyDescent="0.25">
      <c r="A208" s="1" t="str">
        <v>500000123536</v>
      </c>
      <c r="B208" s="1" t="str">
        <f>_xlfn.XLOOKUP(A208,[1]!TabellaContenitori[PdR],[1]!TabellaContenitori[AET])</f>
        <v>TRULLO - MONTE CUCCO</v>
      </c>
      <c r="C208" s="1" t="str">
        <f>_xlfn.XLOOKUP(A208,[1]!TabellaContenitori[PdR],[1]!TabellaContenitori[Numero civico])</f>
        <v>19</v>
      </c>
      <c r="D208" s="1" t="str">
        <f t="shared" si="6"/>
        <v>TRULLO - MONTE CUCCO, 19, Roma</v>
      </c>
      <c r="E208" s="1" t="str">
        <f t="shared" si="7"/>
        <v>TRULLO - MONTE CUCCO</v>
      </c>
      <c r="F208" s="1" t="str">
        <f>_xlfn.XLOOKUP(B208,[1]!Tabella_N_Assi[Indirizzo],[1]!Tabella_N_Assi[Tipo Mezzo Preferenziale],"non trovato")</f>
        <v>non trovato</v>
      </c>
      <c r="G208">
        <f>_xlfn.XLOOKUP(A208,[2]Sheet1!$A:$A,[2]Sheet1!$G:$G,"non trovato")</f>
        <v>41.843424800000001</v>
      </c>
      <c r="H208">
        <f>_xlfn.XLOOKUP(A208,[2]Sheet1!$A:$A,[2]Sheet1!$H:$H,"non trovato")</f>
        <v>12.4382193</v>
      </c>
    </row>
    <row r="209" spans="1:8" x14ac:dyDescent="0.25">
      <c r="A209" s="1" t="str">
        <v>500000097859</v>
      </c>
      <c r="B209" s="1" t="str">
        <f>_xlfn.XLOOKUP(A209,[1]!TabellaContenitori[PdR],[1]!TabellaContenitori[AET])</f>
        <v>CORVIALE</v>
      </c>
      <c r="C209" s="1" t="str">
        <f>_xlfn.XLOOKUP(A209,[1]!TabellaContenitori[PdR],[1]!TabellaContenitori[Numero civico])</f>
        <v>726</v>
      </c>
      <c r="D209" s="1" t="str">
        <f t="shared" si="6"/>
        <v>CORVIALE, 726, Roma</v>
      </c>
      <c r="E209" s="1" t="str">
        <f t="shared" si="7"/>
        <v>CORVIALE</v>
      </c>
      <c r="F209" s="1" t="str">
        <f>_xlfn.XLOOKUP(B209,[1]!Tabella_N_Assi[Indirizzo],[1]!Tabella_N_Assi[Tipo Mezzo Preferenziale],"non trovato")</f>
        <v>non trovato</v>
      </c>
      <c r="G209">
        <f>_xlfn.XLOOKUP(A209,[2]Sheet1!$A:$A,[2]Sheet1!$G:$G,"non trovato")</f>
        <v>41.870518400000002</v>
      </c>
      <c r="H209">
        <f>_xlfn.XLOOKUP(A209,[2]Sheet1!$A:$A,[2]Sheet1!$H:$H,"non trovato")</f>
        <v>12.4653882</v>
      </c>
    </row>
    <row r="210" spans="1:8" x14ac:dyDescent="0.25">
      <c r="A210" s="1" t="str">
        <v>500000097862</v>
      </c>
      <c r="B210" s="1" t="str">
        <f>_xlfn.XLOOKUP(A210,[1]!TabellaContenitori[PdR],[1]!TabellaContenitori[AET])</f>
        <v>CORVIALE</v>
      </c>
      <c r="C210" s="1" t="str">
        <f>_xlfn.XLOOKUP(A210,[1]!TabellaContenitori[PdR],[1]!TabellaContenitori[Numero civico])</f>
        <v>731</v>
      </c>
      <c r="D210" s="1" t="str">
        <f t="shared" si="6"/>
        <v>CORVIALE, 731, Roma</v>
      </c>
      <c r="E210" s="1" t="str">
        <f t="shared" si="7"/>
        <v>CORVIALE</v>
      </c>
      <c r="F210" s="1" t="str">
        <f>_xlfn.XLOOKUP(B210,[1]!Tabella_N_Assi[Indirizzo],[1]!Tabella_N_Assi[Tipo Mezzo Preferenziale],"non trovato")</f>
        <v>non trovato</v>
      </c>
      <c r="G210">
        <f>_xlfn.XLOOKUP(A210,[2]Sheet1!$A:$A,[2]Sheet1!$G:$G,"non trovato")</f>
        <v>41.870518400000002</v>
      </c>
      <c r="H210">
        <f>_xlfn.XLOOKUP(A210,[2]Sheet1!$A:$A,[2]Sheet1!$H:$H,"non trovato")</f>
        <v>12.4653882</v>
      </c>
    </row>
    <row r="211" spans="1:8" x14ac:dyDescent="0.25">
      <c r="A211" s="1" t="str">
        <v>500000124526</v>
      </c>
      <c r="B211" s="1" t="str">
        <f>_xlfn.XLOOKUP(A211,[1]!TabellaContenitori[PdR],[1]!TabellaContenitori[AET])</f>
        <v>TRULLO - MONTE DELLE CAPRE</v>
      </c>
      <c r="C211" s="1" t="str">
        <f>_xlfn.XLOOKUP(A211,[1]!TabellaContenitori[PdR],[1]!TabellaContenitori[Numero civico])</f>
        <v>151</v>
      </c>
      <c r="D211" s="1" t="str">
        <f t="shared" si="6"/>
        <v>TRULLO - MONTE DELLE CAPRE, 151, Roma</v>
      </c>
      <c r="E211" s="1" t="str">
        <f t="shared" si="7"/>
        <v>TRULLO - MONTE DELLE CAPRE</v>
      </c>
      <c r="F211" s="1" t="str">
        <f>_xlfn.XLOOKUP(B211,[1]!Tabella_N_Assi[Indirizzo],[1]!Tabella_N_Assi[Tipo Mezzo Preferenziale],"non trovato")</f>
        <v>non trovato</v>
      </c>
      <c r="G211">
        <f>_xlfn.XLOOKUP(A211,[2]Sheet1!$A:$A,[2]Sheet1!$G:$G,"non trovato")</f>
        <v>41.836390000000002</v>
      </c>
      <c r="H211">
        <f>_xlfn.XLOOKUP(A211,[2]Sheet1!$A:$A,[2]Sheet1!$H:$H,"non trovato")</f>
        <v>12.421317</v>
      </c>
    </row>
    <row r="212" spans="1:8" x14ac:dyDescent="0.25">
      <c r="A212" s="1" t="str">
        <v>500000120323</v>
      </c>
      <c r="B212" s="1" t="str">
        <f>_xlfn.XLOOKUP(A212,[1]!TabellaContenitori[PdR],[1]!TabellaContenitori[AET])</f>
        <v>TRULLO - MONTE DELLE CAPRE</v>
      </c>
      <c r="C212" s="1" t="str">
        <f>_xlfn.XLOOKUP(A212,[1]!TabellaContenitori[PdR],[1]!TabellaContenitori[Numero civico])</f>
        <v>180</v>
      </c>
      <c r="D212" s="1" t="str">
        <f t="shared" si="6"/>
        <v>TRULLO - MONTE DELLE CAPRE, 180, Roma</v>
      </c>
      <c r="E212" s="1" t="str">
        <f t="shared" si="7"/>
        <v>TRULLO - MONTE DELLE CAPRE</v>
      </c>
      <c r="F212" s="1" t="str">
        <f>_xlfn.XLOOKUP(B212,[1]!Tabella_N_Assi[Indirizzo],[1]!Tabella_N_Assi[Tipo Mezzo Preferenziale],"non trovato")</f>
        <v>non trovato</v>
      </c>
      <c r="G212">
        <f>_xlfn.XLOOKUP(A212,[2]Sheet1!$A:$A,[2]Sheet1!$G:$G,"non trovato")</f>
        <v>41.8431517</v>
      </c>
      <c r="H212">
        <f>_xlfn.XLOOKUP(A212,[2]Sheet1!$A:$A,[2]Sheet1!$H:$H,"non trovato")</f>
        <v>12.436747499999999</v>
      </c>
    </row>
    <row r="213" spans="1:8" x14ac:dyDescent="0.25">
      <c r="A213" s="1" t="str">
        <v>500000032924</v>
      </c>
      <c r="B213" s="1" t="str">
        <f>_xlfn.XLOOKUP(A213,[1]!TabellaContenitori[PdR],[1]!TabellaContenitori[AET])</f>
        <v>CASETTA MATTEI</v>
      </c>
      <c r="C213" s="1" t="str">
        <f>_xlfn.XLOOKUP(A213,[1]!TabellaContenitori[PdR],[1]!TabellaContenitori[Numero civico])</f>
        <v>269</v>
      </c>
      <c r="D213" s="1" t="str">
        <f t="shared" si="6"/>
        <v>CASETTA MATTEI, 269, Roma</v>
      </c>
      <c r="E213" s="1" t="str">
        <f t="shared" si="7"/>
        <v>CASETTA MATTEI</v>
      </c>
      <c r="F213" s="1" t="str">
        <f>_xlfn.XLOOKUP(B213,[1]!Tabella_N_Assi[Indirizzo],[1]!Tabella_N_Assi[Tipo Mezzo Preferenziale],"non trovato")</f>
        <v>non trovato</v>
      </c>
      <c r="G213">
        <f>_xlfn.XLOOKUP(A213,[2]Sheet1!$A:$A,[2]Sheet1!$G:$G,"non trovato")</f>
        <v>41.859758599999999</v>
      </c>
      <c r="H213">
        <f>_xlfn.XLOOKUP(A213,[2]Sheet1!$A:$A,[2]Sheet1!$H:$H,"non trovato")</f>
        <v>12.419367100000001</v>
      </c>
    </row>
    <row r="214" spans="1:8" x14ac:dyDescent="0.25">
      <c r="A214" s="1" t="str">
        <v>500000125888</v>
      </c>
      <c r="B214" s="1" t="str">
        <f>_xlfn.XLOOKUP(A214,[1]!TabellaContenitori[PdR],[1]!TabellaContenitori[AET])</f>
        <v>CASETTA MATTEI</v>
      </c>
      <c r="C214" s="1" t="str">
        <f>_xlfn.XLOOKUP(A214,[1]!TabellaContenitori[PdR],[1]!TabellaContenitori[Numero civico])</f>
        <v>88</v>
      </c>
      <c r="D214" s="1" t="str">
        <f t="shared" si="6"/>
        <v>CASETTA MATTEI, 88, Roma</v>
      </c>
      <c r="E214" s="1" t="str">
        <f t="shared" si="7"/>
        <v>CASETTA MATTEI</v>
      </c>
      <c r="F214" s="1" t="str">
        <f>_xlfn.XLOOKUP(B214,[1]!Tabella_N_Assi[Indirizzo],[1]!Tabella_N_Assi[Tipo Mezzo Preferenziale],"non trovato")</f>
        <v>non trovato</v>
      </c>
      <c r="G214">
        <f>_xlfn.XLOOKUP(A214,[2]Sheet1!$A:$A,[2]Sheet1!$G:$G,"non trovato")</f>
        <v>41.857720999999998</v>
      </c>
      <c r="H214">
        <f>_xlfn.XLOOKUP(A214,[2]Sheet1!$A:$A,[2]Sheet1!$H:$H,"non trovato")</f>
        <v>12.417929900000001</v>
      </c>
    </row>
    <row r="215" spans="1:8" x14ac:dyDescent="0.25">
      <c r="A215" s="1" t="str">
        <v>500000032890</v>
      </c>
      <c r="B215" s="1" t="str">
        <f>_xlfn.XLOOKUP(A215,[1]!TabellaContenitori[PdR],[1]!TabellaContenitori[AET])</f>
        <v>CASETTA MATTEI</v>
      </c>
      <c r="C215" s="1" t="str">
        <f>_xlfn.XLOOKUP(A215,[1]!TabellaContenitori[PdR],[1]!TabellaContenitori[Numero civico])</f>
        <v>52</v>
      </c>
      <c r="D215" s="1" t="str">
        <f t="shared" si="6"/>
        <v>CASETTA MATTEI, 52, Roma</v>
      </c>
      <c r="E215" s="1" t="str">
        <f t="shared" si="7"/>
        <v>CASETTA MATTEI</v>
      </c>
      <c r="F215" s="1" t="str">
        <f>_xlfn.XLOOKUP(B215,[1]!Tabella_N_Assi[Indirizzo],[1]!Tabella_N_Assi[Tipo Mezzo Preferenziale],"non trovato")</f>
        <v>non trovato</v>
      </c>
      <c r="G215">
        <f>_xlfn.XLOOKUP(A215,[2]Sheet1!$A:$A,[2]Sheet1!$G:$G,"non trovato")</f>
        <v>41.859758599999999</v>
      </c>
      <c r="H215">
        <f>_xlfn.XLOOKUP(A215,[2]Sheet1!$A:$A,[2]Sheet1!$H:$H,"non trovato")</f>
        <v>12.419367100000001</v>
      </c>
    </row>
    <row r="216" spans="1:8" x14ac:dyDescent="0.25">
      <c r="A216" s="1" t="str">
        <v>500000025636</v>
      </c>
      <c r="B216" s="1" t="str">
        <f>_xlfn.XLOOKUP(A216,[1]!TabellaContenitori[PdR],[1]!TabellaContenitori[AET])</f>
        <v>CASETTA MATTEI</v>
      </c>
      <c r="C216" s="1" t="str">
        <f>_xlfn.XLOOKUP(A216,[1]!TabellaContenitori[PdR],[1]!TabellaContenitori[Numero civico])</f>
        <v>61</v>
      </c>
      <c r="D216" s="1" t="str">
        <f t="shared" si="6"/>
        <v>CASETTA MATTEI, 61, Roma</v>
      </c>
      <c r="E216" s="1" t="str">
        <f t="shared" si="7"/>
        <v>CASETTA MATTEI</v>
      </c>
      <c r="F216" s="1" t="str">
        <f>_xlfn.XLOOKUP(B216,[1]!Tabella_N_Assi[Indirizzo],[1]!Tabella_N_Assi[Tipo Mezzo Preferenziale],"non trovato")</f>
        <v>non trovato</v>
      </c>
      <c r="G216">
        <f>_xlfn.XLOOKUP(A216,[2]Sheet1!$A:$A,[2]Sheet1!$G:$G,"non trovato")</f>
        <v>41.853047799999999</v>
      </c>
      <c r="H216">
        <f>_xlfn.XLOOKUP(A216,[2]Sheet1!$A:$A,[2]Sheet1!$H:$H,"non trovato")</f>
        <v>12.4285136</v>
      </c>
    </row>
    <row r="217" spans="1:8" x14ac:dyDescent="0.25">
      <c r="A217" s="1" t="str">
        <v>500000139972</v>
      </c>
      <c r="B217" s="1" t="str">
        <f>_xlfn.XLOOKUP(A217,[1]!TabellaContenitori[PdR],[1]!TabellaContenitori[AET])</f>
        <v>CORVIALE</v>
      </c>
      <c r="C217" s="1" t="str">
        <f>_xlfn.XLOOKUP(A217,[1]!TabellaContenitori[PdR],[1]!TabellaContenitori[Numero civico])</f>
        <v>226</v>
      </c>
      <c r="D217" s="1" t="str">
        <f t="shared" si="6"/>
        <v>CORVIALE, 226, Roma</v>
      </c>
      <c r="E217" s="1" t="str">
        <f t="shared" si="7"/>
        <v>CORVIALE</v>
      </c>
      <c r="F217" s="1" t="str">
        <f>_xlfn.XLOOKUP(B217,[1]!Tabella_N_Assi[Indirizzo],[1]!Tabella_N_Assi[Tipo Mezzo Preferenziale],"non trovato")</f>
        <v>non trovato</v>
      </c>
      <c r="G217">
        <f>_xlfn.XLOOKUP(A217,[2]Sheet1!$A:$A,[2]Sheet1!$G:$G,"non trovato")</f>
        <v>41.851610000000001</v>
      </c>
      <c r="H217">
        <f>_xlfn.XLOOKUP(A217,[2]Sheet1!$A:$A,[2]Sheet1!$H:$H,"non trovato")</f>
        <v>12.414733699999999</v>
      </c>
    </row>
    <row r="218" spans="1:8" x14ac:dyDescent="0.25">
      <c r="A218" s="1" t="str">
        <v>500000098088</v>
      </c>
      <c r="B218" s="1" t="str">
        <f>_xlfn.XLOOKUP(A218,[1]!TabellaContenitori[PdR],[1]!TabellaContenitori[AET])</f>
        <v>PONTE GALERIA - PIANA DEL SOL</v>
      </c>
      <c r="C218" s="1" t="str">
        <f>_xlfn.XLOOKUP(A218,[1]!TabellaContenitori[PdR],[1]!TabellaContenitori[Numero civico])</f>
        <v>1680</v>
      </c>
      <c r="D218" s="1" t="str">
        <f t="shared" si="6"/>
        <v>PONTE GALERIA - PIANA DEL SOL, 1680, Roma</v>
      </c>
      <c r="E218" s="1" t="str">
        <f t="shared" si="7"/>
        <v>PONTE GALERIA - PIANA DEL SOL</v>
      </c>
      <c r="F218" s="1" t="str">
        <f>_xlfn.XLOOKUP(B218,[1]!Tabella_N_Assi[Indirizzo],[1]!Tabella_N_Assi[Tipo Mezzo Preferenziale],"non trovato")</f>
        <v>non trovato</v>
      </c>
      <c r="G218">
        <f>_xlfn.XLOOKUP(A218,[2]Sheet1!$A:$A,[2]Sheet1!$G:$G,"non trovato")</f>
        <v>41.870518400000002</v>
      </c>
      <c r="H218">
        <f>_xlfn.XLOOKUP(A218,[2]Sheet1!$A:$A,[2]Sheet1!$H:$H,"non trovato")</f>
        <v>12.4653882</v>
      </c>
    </row>
    <row r="219" spans="1:8" x14ac:dyDescent="0.25">
      <c r="A219" s="1" t="str">
        <v>500000130443</v>
      </c>
      <c r="B219" s="1" t="str">
        <f>_xlfn.XLOOKUP(A219,[1]!TabellaContenitori[PdR],[1]!TabellaContenitori[AET])</f>
        <v>PARCO DE' MEDICI</v>
      </c>
      <c r="C219" s="1" t="str">
        <f>_xlfn.XLOOKUP(A219,[1]!TabellaContenitori[PdR],[1]!TabellaContenitori[Numero civico])</f>
        <v>28</v>
      </c>
      <c r="D219" s="1" t="str">
        <f t="shared" si="6"/>
        <v>PARCO DE' MEDICI, 28, Roma</v>
      </c>
      <c r="E219" s="1" t="str">
        <f t="shared" si="7"/>
        <v>PARCO DE' MEDICI</v>
      </c>
      <c r="F219" s="1" t="str">
        <f>_xlfn.XLOOKUP(B219,[1]!Tabella_N_Assi[Indirizzo],[1]!Tabella_N_Assi[Tipo Mezzo Preferenziale],"non trovato")</f>
        <v>non trovato</v>
      </c>
      <c r="G219">
        <f>_xlfn.XLOOKUP(A219,[2]Sheet1!$A:$A,[2]Sheet1!$G:$G,"non trovato")</f>
        <v>41.823333099999999</v>
      </c>
      <c r="H219">
        <f>_xlfn.XLOOKUP(A219,[2]Sheet1!$A:$A,[2]Sheet1!$H:$H,"non trovato")</f>
        <v>12.4139968</v>
      </c>
    </row>
    <row r="220" spans="1:8" x14ac:dyDescent="0.25">
      <c r="A220" s="1" t="str">
        <v>500000122344</v>
      </c>
      <c r="B220" s="1" t="str">
        <f>_xlfn.XLOOKUP(A220,[1]!TabellaContenitori[PdR],[1]!TabellaContenitori[AET])</f>
        <v>PONTE GALERIA - PIANA DEL SOL</v>
      </c>
      <c r="C220" s="1" t="str">
        <f>_xlfn.XLOOKUP(A220,[1]!TabellaContenitori[PdR],[1]!TabellaContenitori[Numero civico])</f>
        <v>10</v>
      </c>
      <c r="D220" s="1" t="str">
        <f t="shared" si="6"/>
        <v>PONTE GALERIA - PIANA DEL SOL, 10, Roma</v>
      </c>
      <c r="E220" s="1" t="str">
        <f t="shared" si="7"/>
        <v>PONTE GALERIA - PIANA DEL SOL</v>
      </c>
      <c r="F220" s="1" t="str">
        <f>_xlfn.XLOOKUP(B220,[1]!Tabella_N_Assi[Indirizzo],[1]!Tabella_N_Assi[Tipo Mezzo Preferenziale],"non trovato")</f>
        <v>non trovato</v>
      </c>
      <c r="G220">
        <f>_xlfn.XLOOKUP(A220,[2]Sheet1!$A:$A,[2]Sheet1!$G:$G,"non trovato")</f>
        <v>41.830034400000002</v>
      </c>
      <c r="H220">
        <f>_xlfn.XLOOKUP(A220,[2]Sheet1!$A:$A,[2]Sheet1!$H:$H,"non trovato")</f>
        <v>12.381682899999999</v>
      </c>
    </row>
    <row r="221" spans="1:8" x14ac:dyDescent="0.25">
      <c r="A221" s="1" t="str">
        <v>500000205396</v>
      </c>
      <c r="B221" s="1" t="str">
        <f>_xlfn.XLOOKUP(A221,[1]!TabellaContenitori[PdR],[1]!TabellaContenitori[AET])</f>
        <v>VIGNA PIA</v>
      </c>
      <c r="C221" s="1" t="str">
        <f>_xlfn.XLOOKUP(A221,[1]!TabellaContenitori[PdR],[1]!TabellaContenitori[Numero civico])</f>
        <v>30</v>
      </c>
      <c r="D221" s="1" t="str">
        <f t="shared" si="6"/>
        <v>VIGNA PIA, 30, Roma</v>
      </c>
      <c r="E221" s="1" t="str">
        <f t="shared" si="7"/>
        <v>VIGNA PIA</v>
      </c>
      <c r="F221" s="1" t="str">
        <f>_xlfn.XLOOKUP(B221,[1]!Tabella_N_Assi[Indirizzo],[1]!Tabella_N_Assi[Tipo Mezzo Preferenziale],"non trovato")</f>
        <v>non trovato</v>
      </c>
      <c r="G221">
        <f>_xlfn.XLOOKUP(A221,[2]Sheet1!$A:$A,[2]Sheet1!$G:$G,"non trovato")</f>
        <v>41.8605491</v>
      </c>
      <c r="H221">
        <f>_xlfn.XLOOKUP(A221,[2]Sheet1!$A:$A,[2]Sheet1!$H:$H,"non trovato")</f>
        <v>12.4544304</v>
      </c>
    </row>
    <row r="222" spans="1:8" x14ac:dyDescent="0.25">
      <c r="A222" s="1" t="str">
        <v>500000205654</v>
      </c>
      <c r="B222" s="1" t="str">
        <f>_xlfn.XLOOKUP(A222,[1]!TabellaContenitori[PdR],[1]!TabellaContenitori[AET])</f>
        <v>PORTUENSE</v>
      </c>
      <c r="C222" s="1" t="str">
        <f>_xlfn.XLOOKUP(A222,[1]!TabellaContenitori[PdR],[1]!TabellaContenitori[Numero civico])</f>
        <v>28</v>
      </c>
      <c r="D222" s="1" t="str">
        <f t="shared" si="6"/>
        <v>PORTUENSE, 28, Roma</v>
      </c>
      <c r="E222" s="1" t="str">
        <f t="shared" si="7"/>
        <v>PORTUENSE</v>
      </c>
      <c r="F222" s="1" t="str">
        <f>_xlfn.XLOOKUP(B222,[1]!Tabella_N_Assi[Indirizzo],[1]!Tabella_N_Assi[Tipo Mezzo Preferenziale],"non trovato")</f>
        <v>non trovato</v>
      </c>
      <c r="G222">
        <f>_xlfn.XLOOKUP(A222,[2]Sheet1!$A:$A,[2]Sheet1!$G:$G,"non trovato")</f>
        <v>41.857109999999999</v>
      </c>
      <c r="H222">
        <f>_xlfn.XLOOKUP(A222,[2]Sheet1!$A:$A,[2]Sheet1!$H:$H,"non trovato")</f>
        <v>12.4542901</v>
      </c>
    </row>
    <row r="223" spans="1:8" x14ac:dyDescent="0.25">
      <c r="A223" s="1" t="str">
        <v>500000100775</v>
      </c>
      <c r="B223" s="1" t="str">
        <f>_xlfn.XLOOKUP(A223,[1]!TabellaContenitori[PdR],[1]!TabellaContenitori[AET])</f>
        <v>ODERISI DA GUBBIO</v>
      </c>
      <c r="C223" s="1" t="str">
        <f>_xlfn.XLOOKUP(A223,[1]!TabellaContenitori[PdR],[1]!TabellaContenitori[Numero civico])</f>
        <v>29</v>
      </c>
      <c r="D223" s="1" t="str">
        <f t="shared" si="6"/>
        <v>ODERISI DA GUBBIO, 29, Roma</v>
      </c>
      <c r="E223" s="1" t="str">
        <f t="shared" si="7"/>
        <v>ODERISI DA GUBBIO</v>
      </c>
      <c r="F223" s="1" t="str">
        <f>_xlfn.XLOOKUP(B223,[1]!Tabella_N_Assi[Indirizzo],[1]!Tabella_N_Assi[Tipo Mezzo Preferenziale],"non trovato")</f>
        <v>non trovato</v>
      </c>
      <c r="G223">
        <f>_xlfn.XLOOKUP(A223,[2]Sheet1!$A:$A,[2]Sheet1!$G:$G,"non trovato")</f>
        <v>41.870023699999997</v>
      </c>
      <c r="H223">
        <f>_xlfn.XLOOKUP(A223,[2]Sheet1!$A:$A,[2]Sheet1!$H:$H,"non trovato")</f>
        <v>12.4672248</v>
      </c>
    </row>
    <row r="224" spans="1:8" x14ac:dyDescent="0.25">
      <c r="A224" s="1" t="str">
        <v>500000094972</v>
      </c>
      <c r="B224" s="1" t="str">
        <f>_xlfn.XLOOKUP(A224,[1]!TabellaContenitori[PdR],[1]!TabellaContenitori[AET])</f>
        <v>PORTUENSE</v>
      </c>
      <c r="C224" s="1" t="str">
        <f>_xlfn.XLOOKUP(A224,[1]!TabellaContenitori[PdR],[1]!TabellaContenitori[Numero civico])</f>
        <v>27</v>
      </c>
      <c r="D224" s="1" t="str">
        <f t="shared" si="6"/>
        <v>PORTUENSE, 27, Roma</v>
      </c>
      <c r="E224" s="1" t="str">
        <f t="shared" si="7"/>
        <v>PORTUENSE</v>
      </c>
      <c r="F224" s="1" t="str">
        <f>_xlfn.XLOOKUP(B224,[1]!Tabella_N_Assi[Indirizzo],[1]!Tabella_N_Assi[Tipo Mezzo Preferenziale],"non trovato")</f>
        <v>non trovato</v>
      </c>
      <c r="G224">
        <f>_xlfn.XLOOKUP(A224,[2]Sheet1!$A:$A,[2]Sheet1!$G:$G,"non trovato")</f>
        <v>41.8583189</v>
      </c>
      <c r="H224">
        <f>_xlfn.XLOOKUP(A224,[2]Sheet1!$A:$A,[2]Sheet1!$H:$H,"non trovato")</f>
        <v>12.451320600000001</v>
      </c>
    </row>
    <row r="225" spans="1:8" x14ac:dyDescent="0.25">
      <c r="A225" s="1" t="str">
        <v>500000173022</v>
      </c>
      <c r="B225" s="1" t="str">
        <f>_xlfn.XLOOKUP(A225,[1]!TabellaContenitori[PdR],[1]!TabellaContenitori[AET])</f>
        <v>PONTE GALERIA - PIANA DEL SOL</v>
      </c>
      <c r="C225" s="1" t="str">
        <f>_xlfn.XLOOKUP(A225,[1]!TabellaContenitori[PdR],[1]!TabellaContenitori[Numero civico])</f>
        <v>54</v>
      </c>
      <c r="D225" s="1" t="str">
        <f t="shared" si="6"/>
        <v>PONTE GALERIA - PIANA DEL SOL, 54, Roma</v>
      </c>
      <c r="E225" s="1" t="str">
        <f t="shared" si="7"/>
        <v>PONTE GALERIA - PIANA DEL SOL</v>
      </c>
      <c r="F225" s="1" t="str">
        <f>_xlfn.XLOOKUP(B225,[1]!Tabella_N_Assi[Indirizzo],[1]!Tabella_N_Assi[Tipo Mezzo Preferenziale],"non trovato")</f>
        <v>non trovato</v>
      </c>
      <c r="G225">
        <f>_xlfn.XLOOKUP(A225,[2]Sheet1!$A:$A,[2]Sheet1!$G:$G,"non trovato")</f>
        <v>41.828956900000001</v>
      </c>
      <c r="H225">
        <f>_xlfn.XLOOKUP(A225,[2]Sheet1!$A:$A,[2]Sheet1!$H:$H,"non trovato")</f>
        <v>12.3935312</v>
      </c>
    </row>
    <row r="226" spans="1:8" x14ac:dyDescent="0.25">
      <c r="A226" s="1" t="str">
        <v>500000205372</v>
      </c>
      <c r="B226" s="1" t="str">
        <f>_xlfn.XLOOKUP(A226,[1]!TabellaContenitori[PdR],[1]!TabellaContenitori[AET])</f>
        <v>VIGNA PIA</v>
      </c>
      <c r="C226" s="1" t="str">
        <f>_xlfn.XLOOKUP(A226,[1]!TabellaContenitori[PdR],[1]!TabellaContenitori[Numero civico])</f>
        <v>1</v>
      </c>
      <c r="D226" s="1" t="str">
        <f t="shared" si="6"/>
        <v>VIGNA PIA, 1, Roma</v>
      </c>
      <c r="E226" s="1" t="str">
        <f t="shared" si="7"/>
        <v>VIGNA PIA</v>
      </c>
      <c r="F226" s="1" t="str">
        <f>_xlfn.XLOOKUP(B226,[1]!Tabella_N_Assi[Indirizzo],[1]!Tabella_N_Assi[Tipo Mezzo Preferenziale],"non trovato")</f>
        <v>non trovato</v>
      </c>
      <c r="G226">
        <f>_xlfn.XLOOKUP(A226,[2]Sheet1!$A:$A,[2]Sheet1!$G:$G,"non trovato")</f>
        <v>41.860209099999999</v>
      </c>
      <c r="H226">
        <f>_xlfn.XLOOKUP(A226,[2]Sheet1!$A:$A,[2]Sheet1!$H:$H,"non trovato")</f>
        <v>12.458497100000001</v>
      </c>
    </row>
    <row r="227" spans="1:8" x14ac:dyDescent="0.25">
      <c r="A227" s="1" t="str">
        <v>500000020400</v>
      </c>
      <c r="B227" s="1" t="str">
        <f>_xlfn.XLOOKUP(A227,[1]!TabellaContenitori[PdR],[1]!TabellaContenitori[AET])</f>
        <v>FERMI</v>
      </c>
      <c r="C227" s="1" t="str">
        <f>_xlfn.XLOOKUP(A227,[1]!TabellaContenitori[PdR],[1]!TabellaContenitori[Numero civico])</f>
        <v>24</v>
      </c>
      <c r="D227" s="1" t="str">
        <f t="shared" si="6"/>
        <v>FERMI, 24, Roma</v>
      </c>
      <c r="E227" s="1" t="str">
        <f t="shared" si="7"/>
        <v>FERMI</v>
      </c>
      <c r="F227" s="1" t="str">
        <f>_xlfn.XLOOKUP(B227,[1]!Tabella_N_Assi[Indirizzo],[1]!Tabella_N_Assi[Tipo Mezzo Preferenziale],"non trovato")</f>
        <v>non trovato</v>
      </c>
      <c r="G227">
        <f>_xlfn.XLOOKUP(A227,[2]Sheet1!$A:$A,[2]Sheet1!$G:$G,"non trovato")</f>
        <v>41.863137000000002</v>
      </c>
      <c r="H227">
        <f>_xlfn.XLOOKUP(A227,[2]Sheet1!$A:$A,[2]Sheet1!$H:$H,"non trovato")</f>
        <v>12.4720189</v>
      </c>
    </row>
    <row r="228" spans="1:8" x14ac:dyDescent="0.25">
      <c r="A228" s="1" t="str">
        <v>500000020401</v>
      </c>
      <c r="B228" s="1" t="str">
        <f>_xlfn.XLOOKUP(A228,[1]!TabellaContenitori[PdR],[1]!TabellaContenitori[AET])</f>
        <v>FERMI</v>
      </c>
      <c r="C228" s="1" t="str">
        <f>_xlfn.XLOOKUP(A228,[1]!TabellaContenitori[PdR],[1]!TabellaContenitori[Numero civico])</f>
        <v>38</v>
      </c>
      <c r="D228" s="1" t="str">
        <f t="shared" si="6"/>
        <v>FERMI, 38, Roma</v>
      </c>
      <c r="E228" s="1" t="str">
        <f t="shared" si="7"/>
        <v>FERMI</v>
      </c>
      <c r="F228" s="1" t="str">
        <f>_xlfn.XLOOKUP(B228,[1]!Tabella_N_Assi[Indirizzo],[1]!Tabella_N_Assi[Tipo Mezzo Preferenziale],"non trovato")</f>
        <v>non trovato</v>
      </c>
      <c r="G228">
        <f>_xlfn.XLOOKUP(A228,[2]Sheet1!$A:$A,[2]Sheet1!$G:$G,"non trovato")</f>
        <v>41.863137000000002</v>
      </c>
      <c r="H228">
        <f>_xlfn.XLOOKUP(A228,[2]Sheet1!$A:$A,[2]Sheet1!$H:$H,"non trovato")</f>
        <v>12.4720189</v>
      </c>
    </row>
    <row r="229" spans="1:8" x14ac:dyDescent="0.25">
      <c r="A229" s="1" t="str">
        <v>500000068581</v>
      </c>
      <c r="B229" s="1" t="str">
        <f>_xlfn.XLOOKUP(A229,[1]!TabellaContenitori[PdR],[1]!TabellaContenitori[AET])</f>
        <v>MARCONI</v>
      </c>
      <c r="C229" s="1" t="str">
        <f>_xlfn.XLOOKUP(A229,[1]!TabellaContenitori[PdR],[1]!TabellaContenitori[Numero civico])</f>
        <v>10</v>
      </c>
      <c r="D229" s="1" t="str">
        <f t="shared" si="6"/>
        <v>MARCONI, 10, Roma</v>
      </c>
      <c r="E229" s="1" t="str">
        <f t="shared" si="7"/>
        <v>MARCONI</v>
      </c>
      <c r="F229" s="1" t="str">
        <f>_xlfn.XLOOKUP(B229,[1]!Tabella_N_Assi[Indirizzo],[1]!Tabella_N_Assi[Tipo Mezzo Preferenziale],"non trovato")</f>
        <v>non trovato</v>
      </c>
      <c r="G229">
        <f>_xlfn.XLOOKUP(A229,[2]Sheet1!$A:$A,[2]Sheet1!$G:$G,"non trovato")</f>
        <v>41.869052000000003</v>
      </c>
      <c r="H229">
        <f>_xlfn.XLOOKUP(A229,[2]Sheet1!$A:$A,[2]Sheet1!$H:$H,"non trovato")</f>
        <v>12.4676752</v>
      </c>
    </row>
    <row r="230" spans="1:8" x14ac:dyDescent="0.25">
      <c r="A230" s="1" t="str">
        <v>500000011660</v>
      </c>
      <c r="B230" s="1" t="str">
        <f>_xlfn.XLOOKUP(A230,[1]!TabellaContenitori[PdR],[1]!TabellaContenitori[AET])</f>
        <v>MARCONI</v>
      </c>
      <c r="C230" s="1" t="str">
        <f>_xlfn.XLOOKUP(A230,[1]!TabellaContenitori[PdR],[1]!TabellaContenitori[Numero civico])</f>
        <v>25</v>
      </c>
      <c r="D230" s="1" t="str">
        <f t="shared" si="6"/>
        <v>MARCONI, 25, Roma</v>
      </c>
      <c r="E230" s="1" t="str">
        <f t="shared" si="7"/>
        <v>MARCONI</v>
      </c>
      <c r="F230" s="1" t="str">
        <f>_xlfn.XLOOKUP(B230,[1]!Tabella_N_Assi[Indirizzo],[1]!Tabella_N_Assi[Tipo Mezzo Preferenziale],"non trovato")</f>
        <v>non trovato</v>
      </c>
      <c r="G230">
        <f>_xlfn.XLOOKUP(A230,[2]Sheet1!$A:$A,[2]Sheet1!$G:$G,"non trovato")</f>
        <v>41.861918500000002</v>
      </c>
      <c r="H230">
        <f>_xlfn.XLOOKUP(A230,[2]Sheet1!$A:$A,[2]Sheet1!$H:$H,"non trovato")</f>
        <v>12.465842200000001</v>
      </c>
    </row>
    <row r="231" spans="1:8" x14ac:dyDescent="0.25">
      <c r="A231" s="1" t="str">
        <v>500000068592</v>
      </c>
      <c r="B231" s="1" t="str">
        <f>_xlfn.XLOOKUP(A231,[1]!TabellaContenitori[PdR],[1]!TabellaContenitori[AET])</f>
        <v>MARCONI</v>
      </c>
      <c r="C231" s="1" t="str">
        <f>_xlfn.XLOOKUP(A231,[1]!TabellaContenitori[PdR],[1]!TabellaContenitori[Numero civico])</f>
        <v>139</v>
      </c>
      <c r="D231" s="1" t="str">
        <f t="shared" si="6"/>
        <v>MARCONI, 139, Roma</v>
      </c>
      <c r="E231" s="1" t="str">
        <f t="shared" si="7"/>
        <v>MARCONI</v>
      </c>
      <c r="F231" s="1" t="str">
        <f>_xlfn.XLOOKUP(B231,[1]!Tabella_N_Assi[Indirizzo],[1]!Tabella_N_Assi[Tipo Mezzo Preferenziale],"non trovato")</f>
        <v>non trovato</v>
      </c>
      <c r="G231">
        <f>_xlfn.XLOOKUP(A231,[2]Sheet1!$A:$A,[2]Sheet1!$G:$G,"non trovato")</f>
        <v>41.866817500000003</v>
      </c>
      <c r="H231">
        <f>_xlfn.XLOOKUP(A231,[2]Sheet1!$A:$A,[2]Sheet1!$H:$H,"non trovato")</f>
        <v>12.4688041</v>
      </c>
    </row>
    <row r="232" spans="1:8" x14ac:dyDescent="0.25">
      <c r="A232" s="1" t="str">
        <v>500000110845</v>
      </c>
      <c r="B232" s="1" t="str">
        <f>_xlfn.XLOOKUP(A232,[1]!TabellaContenitori[PdR],[1]!TabellaContenitori[AET])</f>
        <v>FERMI</v>
      </c>
      <c r="C232" s="1" t="str">
        <f>_xlfn.XLOOKUP(A232,[1]!TabellaContenitori[PdR],[1]!TabellaContenitori[Numero civico])</f>
        <v>111</v>
      </c>
      <c r="D232" s="1" t="str">
        <f t="shared" si="6"/>
        <v>FERMI, 111, Roma</v>
      </c>
      <c r="E232" s="1" t="str">
        <f t="shared" si="7"/>
        <v>FERMI</v>
      </c>
      <c r="F232" s="1" t="str">
        <f>_xlfn.XLOOKUP(B232,[1]!Tabella_N_Assi[Indirizzo],[1]!Tabella_N_Assi[Tipo Mezzo Preferenziale],"non trovato")</f>
        <v>non trovato</v>
      </c>
      <c r="G232">
        <f>_xlfn.XLOOKUP(A232,[2]Sheet1!$A:$A,[2]Sheet1!$G:$G,"non trovato")</f>
        <v>41.862604599999997</v>
      </c>
      <c r="H232">
        <f>_xlfn.XLOOKUP(A232,[2]Sheet1!$A:$A,[2]Sheet1!$H:$H,"non trovato")</f>
        <v>12.471681</v>
      </c>
    </row>
    <row r="233" spans="1:8" x14ac:dyDescent="0.25">
      <c r="A233" s="1" t="str">
        <v>500000015958</v>
      </c>
      <c r="B233" s="1" t="str">
        <f>_xlfn.XLOOKUP(A233,[1]!TabellaContenitori[PdR],[1]!TabellaContenitori[AET])</f>
        <v>FERMI</v>
      </c>
      <c r="C233" s="1" t="str">
        <f>_xlfn.XLOOKUP(A233,[1]!TabellaContenitori[PdR],[1]!TabellaContenitori[Numero civico])</f>
        <v>46</v>
      </c>
      <c r="D233" s="1" t="str">
        <f t="shared" si="6"/>
        <v>FERMI, 46, Roma</v>
      </c>
      <c r="E233" s="1" t="str">
        <f t="shared" si="7"/>
        <v>FERMI</v>
      </c>
      <c r="F233" s="1" t="str">
        <f>_xlfn.XLOOKUP(B233,[1]!Tabella_N_Assi[Indirizzo],[1]!Tabella_N_Assi[Tipo Mezzo Preferenziale],"non trovato")</f>
        <v>non trovato</v>
      </c>
      <c r="G233">
        <f>_xlfn.XLOOKUP(A233,[2]Sheet1!$A:$A,[2]Sheet1!$G:$G,"non trovato")</f>
        <v>41.8631125</v>
      </c>
      <c r="H233">
        <f>_xlfn.XLOOKUP(A233,[2]Sheet1!$A:$A,[2]Sheet1!$H:$H,"non trovato")</f>
        <v>12.4708924</v>
      </c>
    </row>
    <row r="234" spans="1:8" x14ac:dyDescent="0.25">
      <c r="A234" s="1" t="str">
        <v>500000047226</v>
      </c>
      <c r="B234" s="1" t="str">
        <f>_xlfn.XLOOKUP(A234,[1]!TabellaContenitori[PdR],[1]!TabellaContenitori[AET])</f>
        <v>FERMI</v>
      </c>
      <c r="C234" s="1" t="str">
        <f>_xlfn.XLOOKUP(A234,[1]!TabellaContenitori[PdR],[1]!TabellaContenitori[Numero civico])</f>
        <v>54</v>
      </c>
      <c r="D234" s="1" t="str">
        <f t="shared" si="6"/>
        <v>FERMI, 54, Roma</v>
      </c>
      <c r="E234" s="1" t="str">
        <f t="shared" si="7"/>
        <v>FERMI</v>
      </c>
      <c r="F234" s="1" t="str">
        <f>_xlfn.XLOOKUP(B234,[1]!Tabella_N_Assi[Indirizzo],[1]!Tabella_N_Assi[Tipo Mezzo Preferenziale],"non trovato")</f>
        <v>non trovato</v>
      </c>
      <c r="G234">
        <f>_xlfn.XLOOKUP(A234,[2]Sheet1!$A:$A,[2]Sheet1!$G:$G,"non trovato")</f>
        <v>41.864571099999999</v>
      </c>
      <c r="H234">
        <f>_xlfn.XLOOKUP(A234,[2]Sheet1!$A:$A,[2]Sheet1!$H:$H,"non trovato")</f>
        <v>12.472239800000001</v>
      </c>
    </row>
    <row r="235" spans="1:8" x14ac:dyDescent="0.25">
      <c r="A235" s="1" t="str">
        <v>500000094009</v>
      </c>
      <c r="B235" s="1" t="str">
        <f>_xlfn.XLOOKUP(A235,[1]!TabellaContenitori[PdR],[1]!TabellaContenitori[AET])</f>
        <v>FERMI</v>
      </c>
      <c r="C235" s="1" t="str">
        <f>_xlfn.XLOOKUP(A235,[1]!TabellaContenitori[PdR],[1]!TabellaContenitori[Numero civico])</f>
        <v>177</v>
      </c>
      <c r="D235" s="1" t="str">
        <f t="shared" si="6"/>
        <v>FERMI, 177, Roma</v>
      </c>
      <c r="E235" s="1" t="str">
        <f t="shared" si="7"/>
        <v>FERMI</v>
      </c>
      <c r="F235" s="1" t="str">
        <f>_xlfn.XLOOKUP(B235,[1]!Tabella_N_Assi[Indirizzo],[1]!Tabella_N_Assi[Tipo Mezzo Preferenziale],"non trovato")</f>
        <v>non trovato</v>
      </c>
      <c r="G235">
        <f>_xlfn.XLOOKUP(A235,[2]Sheet1!$A:$A,[2]Sheet1!$G:$G,"non trovato")</f>
        <v>41.865532999999999</v>
      </c>
      <c r="H235">
        <f>_xlfn.XLOOKUP(A235,[2]Sheet1!$A:$A,[2]Sheet1!$H:$H,"non trovato")</f>
        <v>12.4750234</v>
      </c>
    </row>
    <row r="236" spans="1:8" x14ac:dyDescent="0.25">
      <c r="A236" s="1" t="str">
        <v>500000068583</v>
      </c>
      <c r="B236" s="1" t="str">
        <f>_xlfn.XLOOKUP(A236,[1]!TabellaContenitori[PdR],[1]!TabellaContenitori[AET])</f>
        <v>MARCONI</v>
      </c>
      <c r="C236" s="1" t="str">
        <f>_xlfn.XLOOKUP(A236,[1]!TabellaContenitori[PdR],[1]!TabellaContenitori[Numero civico])</f>
        <v>21</v>
      </c>
      <c r="D236" s="1" t="str">
        <f t="shared" si="6"/>
        <v>MARCONI, 21, Roma</v>
      </c>
      <c r="E236" s="1" t="str">
        <f t="shared" si="7"/>
        <v>MARCONI</v>
      </c>
      <c r="F236" s="1" t="str">
        <f>_xlfn.XLOOKUP(B236,[1]!Tabella_N_Assi[Indirizzo],[1]!Tabella_N_Assi[Tipo Mezzo Preferenziale],"non trovato")</f>
        <v>non trovato</v>
      </c>
      <c r="G236">
        <f>_xlfn.XLOOKUP(A236,[2]Sheet1!$A:$A,[2]Sheet1!$G:$G,"non trovato")</f>
        <v>41.868899599999999</v>
      </c>
      <c r="H236">
        <f>_xlfn.XLOOKUP(A236,[2]Sheet1!$A:$A,[2]Sheet1!$H:$H,"non trovato")</f>
        <v>12.468209999999999</v>
      </c>
    </row>
    <row r="237" spans="1:8" x14ac:dyDescent="0.25">
      <c r="A237" s="1" t="str">
        <v>500000064898</v>
      </c>
      <c r="B237" s="1" t="str">
        <f>_xlfn.XLOOKUP(A237,[1]!TabellaContenitori[PdR],[1]!TabellaContenitori[AET])</f>
        <v>ODERISI DA GUBBIO</v>
      </c>
      <c r="C237" s="1" t="str">
        <f>_xlfn.XLOOKUP(A237,[1]!TabellaContenitori[PdR],[1]!TabellaContenitori[Numero civico])</f>
        <v>37</v>
      </c>
      <c r="D237" s="1" t="str">
        <f t="shared" si="6"/>
        <v>ODERISI DA GUBBIO, 37, Roma</v>
      </c>
      <c r="E237" s="1" t="str">
        <f t="shared" si="7"/>
        <v>ODERISI DA GUBBIO</v>
      </c>
      <c r="F237" s="1" t="str">
        <f>_xlfn.XLOOKUP(B237,[1]!Tabella_N_Assi[Indirizzo],[1]!Tabella_N_Assi[Tipo Mezzo Preferenziale],"non trovato")</f>
        <v>non trovato</v>
      </c>
      <c r="G237">
        <f>_xlfn.XLOOKUP(A237,[2]Sheet1!$A:$A,[2]Sheet1!$G:$G,"non trovato")</f>
        <v>41.8640002</v>
      </c>
      <c r="H237">
        <f>_xlfn.XLOOKUP(A237,[2]Sheet1!$A:$A,[2]Sheet1!$H:$H,"non trovato")</f>
        <v>12.4665342</v>
      </c>
    </row>
    <row r="238" spans="1:8" x14ac:dyDescent="0.25">
      <c r="A238" s="1" t="str">
        <v>500000059423</v>
      </c>
      <c r="B238" s="1" t="str">
        <f>_xlfn.XLOOKUP(A238,[1]!TabellaContenitori[PdR],[1]!TabellaContenitori[AET])</f>
        <v>MARCONI</v>
      </c>
      <c r="C238" s="1" t="str">
        <f>_xlfn.XLOOKUP(A238,[1]!TabellaContenitori[PdR],[1]!TabellaContenitori[Numero civico])</f>
        <v>8</v>
      </c>
      <c r="D238" s="1" t="str">
        <f t="shared" si="6"/>
        <v>MARCONI, 8, Roma</v>
      </c>
      <c r="E238" s="1" t="str">
        <f t="shared" si="7"/>
        <v>MARCONI</v>
      </c>
      <c r="F238" s="1" t="str">
        <f>_xlfn.XLOOKUP(B238,[1]!Tabella_N_Assi[Indirizzo],[1]!Tabella_N_Assi[Tipo Mezzo Preferenziale],"non trovato")</f>
        <v>non trovato</v>
      </c>
      <c r="G238">
        <f>_xlfn.XLOOKUP(A238,[2]Sheet1!$A:$A,[2]Sheet1!$G:$G,"non trovato")</f>
        <v>41.862639000000001</v>
      </c>
      <c r="H238">
        <f>_xlfn.XLOOKUP(A238,[2]Sheet1!$A:$A,[2]Sheet1!$H:$H,"non trovato")</f>
        <v>12.4655162</v>
      </c>
    </row>
    <row r="239" spans="1:8" x14ac:dyDescent="0.25">
      <c r="A239" s="1" t="str">
        <v>500000059427</v>
      </c>
      <c r="B239" s="1" t="str">
        <f>_xlfn.XLOOKUP(A239,[1]!TabellaContenitori[PdR],[1]!TabellaContenitori[AET])</f>
        <v>MARCONI</v>
      </c>
      <c r="C239" s="1" t="str">
        <f>_xlfn.XLOOKUP(A239,[1]!TabellaContenitori[PdR],[1]!TabellaContenitori[Numero civico])</f>
        <v>94</v>
      </c>
      <c r="D239" s="1" t="str">
        <f t="shared" si="6"/>
        <v>MARCONI, 94, Roma</v>
      </c>
      <c r="E239" s="1" t="str">
        <f t="shared" si="7"/>
        <v>MARCONI</v>
      </c>
      <c r="F239" s="1" t="str">
        <f>_xlfn.XLOOKUP(B239,[1]!Tabella_N_Assi[Indirizzo],[1]!Tabella_N_Assi[Tipo Mezzo Preferenziale],"non trovato")</f>
        <v>non trovato</v>
      </c>
      <c r="G239">
        <f>_xlfn.XLOOKUP(A239,[2]Sheet1!$A:$A,[2]Sheet1!$G:$G,"non trovato")</f>
        <v>41.862639000000001</v>
      </c>
      <c r="H239">
        <f>_xlfn.XLOOKUP(A239,[2]Sheet1!$A:$A,[2]Sheet1!$H:$H,"non trovato")</f>
        <v>12.4655162</v>
      </c>
    </row>
    <row r="240" spans="1:8" x14ac:dyDescent="0.25">
      <c r="A240" s="1" t="str">
        <v>500000059425</v>
      </c>
      <c r="B240" s="1" t="str">
        <f>_xlfn.XLOOKUP(A240,[1]!TabellaContenitori[PdR],[1]!TabellaContenitori[AET])</f>
        <v>MARCONI</v>
      </c>
      <c r="C240" s="1" t="str">
        <f>_xlfn.XLOOKUP(A240,[1]!TabellaContenitori[PdR],[1]!TabellaContenitori[Numero civico])</f>
        <v>52</v>
      </c>
      <c r="D240" s="1" t="str">
        <f t="shared" si="6"/>
        <v>MARCONI, 52, Roma</v>
      </c>
      <c r="E240" s="1" t="str">
        <f t="shared" si="7"/>
        <v>MARCONI</v>
      </c>
      <c r="F240" s="1" t="str">
        <f>_xlfn.XLOOKUP(B240,[1]!Tabella_N_Assi[Indirizzo],[1]!Tabella_N_Assi[Tipo Mezzo Preferenziale],"non trovato")</f>
        <v>non trovato</v>
      </c>
      <c r="G240">
        <f>_xlfn.XLOOKUP(A240,[2]Sheet1!$A:$A,[2]Sheet1!$G:$G,"non trovato")</f>
        <v>41.862639000000001</v>
      </c>
      <c r="H240">
        <f>_xlfn.XLOOKUP(A240,[2]Sheet1!$A:$A,[2]Sheet1!$H:$H,"non trovato")</f>
        <v>12.4655162</v>
      </c>
    </row>
    <row r="241" spans="1:8" x14ac:dyDescent="0.25">
      <c r="A241" s="1" t="str">
        <v>500000087640</v>
      </c>
      <c r="B241" s="1" t="str">
        <f>_xlfn.XLOOKUP(A241,[1]!TabellaContenitori[PdR],[1]!TabellaContenitori[AET])</f>
        <v>ODERISI DA GUBBIO</v>
      </c>
      <c r="C241" s="1" t="str">
        <f>_xlfn.XLOOKUP(A241,[1]!TabellaContenitori[PdR],[1]!TabellaContenitori[Numero civico])</f>
        <v>40</v>
      </c>
      <c r="D241" s="1" t="str">
        <f t="shared" si="6"/>
        <v>ODERISI DA GUBBIO, 40, Roma</v>
      </c>
      <c r="E241" s="1" t="str">
        <f t="shared" si="7"/>
        <v>ODERISI DA GUBBIO</v>
      </c>
      <c r="F241" s="1" t="str">
        <f>_xlfn.XLOOKUP(B241,[1]!Tabella_N_Assi[Indirizzo],[1]!Tabella_N_Assi[Tipo Mezzo Preferenziale],"non trovato")</f>
        <v>non trovato</v>
      </c>
      <c r="G241">
        <f>_xlfn.XLOOKUP(A241,[2]Sheet1!$A:$A,[2]Sheet1!$G:$G,"non trovato")</f>
        <v>41.8635965</v>
      </c>
      <c r="H241">
        <f>_xlfn.XLOOKUP(A241,[2]Sheet1!$A:$A,[2]Sheet1!$H:$H,"non trovato")</f>
        <v>12.464426700000001</v>
      </c>
    </row>
    <row r="242" spans="1:8" x14ac:dyDescent="0.25">
      <c r="A242" s="1" t="str">
        <v>500000093871</v>
      </c>
      <c r="B242" s="1" t="str">
        <f>_xlfn.XLOOKUP(A242,[1]!TabellaContenitori[PdR],[1]!TabellaContenitori[AET])</f>
        <v>FRATTINI</v>
      </c>
      <c r="C242" s="1" t="str">
        <f>_xlfn.XLOOKUP(A242,[1]!TabellaContenitori[PdR],[1]!TabellaContenitori[Numero civico])</f>
        <v>35</v>
      </c>
      <c r="D242" s="1" t="str">
        <f t="shared" si="6"/>
        <v>FRATTINI, 35, Roma</v>
      </c>
      <c r="E242" s="1" t="str">
        <f t="shared" si="7"/>
        <v>FRATTINI</v>
      </c>
      <c r="F242" s="1" t="str">
        <f>_xlfn.XLOOKUP(B242,[1]!Tabella_N_Assi[Indirizzo],[1]!Tabella_N_Assi[Tipo Mezzo Preferenziale],"non trovato")</f>
        <v>non trovato</v>
      </c>
      <c r="G242">
        <f>_xlfn.XLOOKUP(A242,[2]Sheet1!$A:$A,[2]Sheet1!$G:$G,"non trovato")</f>
        <v>41.8545655</v>
      </c>
      <c r="H242">
        <f>_xlfn.XLOOKUP(A242,[2]Sheet1!$A:$A,[2]Sheet1!$H:$H,"non trovato")</f>
        <v>12.452363</v>
      </c>
    </row>
    <row r="243" spans="1:8" x14ac:dyDescent="0.25">
      <c r="A243" s="1" t="str">
        <v>500000015821</v>
      </c>
      <c r="B243" s="1" t="str">
        <f>_xlfn.XLOOKUP(A243,[1]!TabellaContenitori[PdR],[1]!TabellaContenitori[AET])</f>
        <v>VIGNA PIA</v>
      </c>
      <c r="C243" s="1" t="str">
        <f>_xlfn.XLOOKUP(A243,[1]!TabellaContenitori[PdR],[1]!TabellaContenitori[Numero civico])</f>
        <v>99999</v>
      </c>
      <c r="D243" s="1" t="str">
        <f t="shared" si="6"/>
        <v>VIGNA PIA, 99999, Roma</v>
      </c>
      <c r="E243" s="1" t="str">
        <f t="shared" si="7"/>
        <v>VIGNA PIA</v>
      </c>
      <c r="F243" s="1" t="str">
        <f>_xlfn.XLOOKUP(B243,[1]!Tabella_N_Assi[Indirizzo],[1]!Tabella_N_Assi[Tipo Mezzo Preferenziale],"non trovato")</f>
        <v>non trovato</v>
      </c>
      <c r="G243">
        <f>_xlfn.XLOOKUP(A243,[2]Sheet1!$A:$A,[2]Sheet1!$G:$G,"non trovato")</f>
        <v>41.8604068</v>
      </c>
      <c r="H243">
        <f>_xlfn.XLOOKUP(A243,[2]Sheet1!$A:$A,[2]Sheet1!$H:$H,"non trovato")</f>
        <v>12.455799900000001</v>
      </c>
    </row>
    <row r="244" spans="1:8" x14ac:dyDescent="0.25">
      <c r="A244" s="1" t="str">
        <v>500000066425</v>
      </c>
      <c r="B244" s="1" t="str">
        <f>_xlfn.XLOOKUP(A244,[1]!TabellaContenitori[PdR],[1]!TabellaContenitori[AET])</f>
        <v>FRATTINI</v>
      </c>
      <c r="C244" s="1" t="str">
        <f>_xlfn.XLOOKUP(A244,[1]!TabellaContenitori[PdR],[1]!TabellaContenitori[Numero civico])</f>
        <v>42</v>
      </c>
      <c r="D244" s="1" t="str">
        <f t="shared" si="6"/>
        <v>FRATTINI, 42, Roma</v>
      </c>
      <c r="E244" s="1" t="str">
        <f t="shared" si="7"/>
        <v>FRATTINI</v>
      </c>
      <c r="F244" s="1" t="str">
        <f>_xlfn.XLOOKUP(B244,[1]!Tabella_N_Assi[Indirizzo],[1]!Tabella_N_Assi[Tipo Mezzo Preferenziale],"non trovato")</f>
        <v>non trovato</v>
      </c>
      <c r="G244">
        <f>_xlfn.XLOOKUP(A244,[2]Sheet1!$A:$A,[2]Sheet1!$G:$G,"non trovato")</f>
        <v>41.855439699999998</v>
      </c>
      <c r="H244">
        <f>_xlfn.XLOOKUP(A244,[2]Sheet1!$A:$A,[2]Sheet1!$H:$H,"non trovato")</f>
        <v>12.4485481</v>
      </c>
    </row>
    <row r="245" spans="1:8" x14ac:dyDescent="0.25">
      <c r="A245" s="1" t="str">
        <v>500000058085</v>
      </c>
      <c r="B245" s="1" t="str">
        <f>_xlfn.XLOOKUP(A245,[1]!TabellaContenitori[PdR],[1]!TabellaContenitori[AET])</f>
        <v>VIGNA PIA</v>
      </c>
      <c r="C245" s="1" t="str">
        <f>_xlfn.XLOOKUP(A245,[1]!TabellaContenitori[PdR],[1]!TabellaContenitori[Numero civico])</f>
        <v>41</v>
      </c>
      <c r="D245" s="1" t="str">
        <f t="shared" si="6"/>
        <v>VIGNA PIA, 41, Roma</v>
      </c>
      <c r="E245" s="1" t="str">
        <f t="shared" si="7"/>
        <v>VIGNA PIA</v>
      </c>
      <c r="F245" s="1" t="str">
        <f>_xlfn.XLOOKUP(B245,[1]!Tabella_N_Assi[Indirizzo],[1]!Tabella_N_Assi[Tipo Mezzo Preferenziale],"non trovato")</f>
        <v>non trovato</v>
      </c>
      <c r="G245">
        <f>_xlfn.XLOOKUP(A245,[2]Sheet1!$A:$A,[2]Sheet1!$G:$G,"non trovato")</f>
        <v>41.862415599999999</v>
      </c>
      <c r="H245">
        <f>_xlfn.XLOOKUP(A245,[2]Sheet1!$A:$A,[2]Sheet1!$H:$H,"non trovato")</f>
        <v>12.4583496</v>
      </c>
    </row>
    <row r="246" spans="1:8" x14ac:dyDescent="0.25">
      <c r="A246" s="1" t="str">
        <v>500000204002</v>
      </c>
      <c r="B246" s="1" t="str">
        <f>_xlfn.XLOOKUP(A246,[1]!TabellaContenitori[PdR],[1]!TabellaContenitori[AET])</f>
        <v>PORTUENSE</v>
      </c>
      <c r="C246" s="1" t="str">
        <f>_xlfn.XLOOKUP(A246,[1]!TabellaContenitori[PdR],[1]!TabellaContenitori[Numero civico])</f>
        <v>295</v>
      </c>
      <c r="D246" s="1" t="str">
        <f t="shared" si="6"/>
        <v>PORTUENSE, 295, Roma</v>
      </c>
      <c r="E246" s="1" t="str">
        <f t="shared" si="7"/>
        <v>PORTUENSE</v>
      </c>
      <c r="F246" s="1" t="str">
        <f>_xlfn.XLOOKUP(B246,[1]!Tabella_N_Assi[Indirizzo],[1]!Tabella_N_Assi[Tipo Mezzo Preferenziale],"non trovato")</f>
        <v>non trovato</v>
      </c>
      <c r="G246">
        <f>_xlfn.XLOOKUP(A246,[2]Sheet1!$A:$A,[2]Sheet1!$G:$G,"non trovato")</f>
        <v>41.870518400000002</v>
      </c>
      <c r="H246">
        <f>_xlfn.XLOOKUP(A246,[2]Sheet1!$A:$A,[2]Sheet1!$H:$H,"non trovato")</f>
        <v>12.4653882</v>
      </c>
    </row>
    <row r="247" spans="1:8" x14ac:dyDescent="0.25">
      <c r="A247" s="1" t="str">
        <v>500000069255</v>
      </c>
      <c r="B247" s="1" t="str">
        <f>_xlfn.XLOOKUP(A247,[1]!TabellaContenitori[PdR],[1]!TabellaContenitori[AET])</f>
        <v>FRATTINI</v>
      </c>
      <c r="C247" s="1" t="str">
        <f>_xlfn.XLOOKUP(A247,[1]!TabellaContenitori[PdR],[1]!TabellaContenitori[Numero civico])</f>
        <v>14</v>
      </c>
      <c r="D247" s="1" t="str">
        <f t="shared" si="6"/>
        <v>FRATTINI, 14, Roma</v>
      </c>
      <c r="E247" s="1" t="str">
        <f t="shared" si="7"/>
        <v>FRATTINI</v>
      </c>
      <c r="F247" s="1" t="str">
        <f>_xlfn.XLOOKUP(B247,[1]!Tabella_N_Assi[Indirizzo],[1]!Tabella_N_Assi[Tipo Mezzo Preferenziale],"non trovato")</f>
        <v>non trovato</v>
      </c>
      <c r="G247">
        <f>_xlfn.XLOOKUP(A247,[2]Sheet1!$A:$A,[2]Sheet1!$G:$G,"non trovato")</f>
        <v>41.8523779</v>
      </c>
      <c r="H247">
        <f>_xlfn.XLOOKUP(A247,[2]Sheet1!$A:$A,[2]Sheet1!$H:$H,"non trovato")</f>
        <v>12.449355799999999</v>
      </c>
    </row>
    <row r="248" spans="1:8" x14ac:dyDescent="0.25">
      <c r="A248" s="1" t="str">
        <v>500000094974</v>
      </c>
      <c r="B248" s="1" t="str">
        <f>_xlfn.XLOOKUP(A248,[1]!TabellaContenitori[PdR],[1]!TabellaContenitori[AET])</f>
        <v>PORTUENSE</v>
      </c>
      <c r="C248" s="1" t="str">
        <f>_xlfn.XLOOKUP(A248,[1]!TabellaContenitori[PdR],[1]!TabellaContenitori[Numero civico])</f>
        <v>27</v>
      </c>
      <c r="D248" s="1" t="str">
        <f t="shared" si="6"/>
        <v>PORTUENSE, 27, Roma</v>
      </c>
      <c r="E248" s="1" t="str">
        <f t="shared" si="7"/>
        <v>PORTUENSE</v>
      </c>
      <c r="F248" s="1" t="str">
        <f>_xlfn.XLOOKUP(B248,[1]!Tabella_N_Assi[Indirizzo],[1]!Tabella_N_Assi[Tipo Mezzo Preferenziale],"non trovato")</f>
        <v>non trovato</v>
      </c>
      <c r="G248">
        <f>_xlfn.XLOOKUP(A248,[2]Sheet1!$A:$A,[2]Sheet1!$G:$G,"non trovato")</f>
        <v>41.8583189</v>
      </c>
      <c r="H248">
        <f>_xlfn.XLOOKUP(A248,[2]Sheet1!$A:$A,[2]Sheet1!$H:$H,"non trovato")</f>
        <v>12.451320600000001</v>
      </c>
    </row>
    <row r="249" spans="1:8" x14ac:dyDescent="0.25">
      <c r="A249" s="1" t="str">
        <v>500000094976</v>
      </c>
      <c r="B249" s="1" t="str">
        <f>_xlfn.XLOOKUP(A249,[1]!TabellaContenitori[PdR],[1]!TabellaContenitori[AET])</f>
        <v>PORTUENSE</v>
      </c>
      <c r="C249" s="1" t="str">
        <f>_xlfn.XLOOKUP(A249,[1]!TabellaContenitori[PdR],[1]!TabellaContenitori[Numero civico])</f>
        <v>61</v>
      </c>
      <c r="D249" s="1" t="str">
        <f t="shared" si="6"/>
        <v>PORTUENSE, 61, Roma</v>
      </c>
      <c r="E249" s="1" t="str">
        <f t="shared" si="7"/>
        <v>PORTUENSE</v>
      </c>
      <c r="F249" s="1" t="str">
        <f>_xlfn.XLOOKUP(B249,[1]!Tabella_N_Assi[Indirizzo],[1]!Tabella_N_Assi[Tipo Mezzo Preferenziale],"non trovato")</f>
        <v>non trovato</v>
      </c>
      <c r="G249">
        <f>_xlfn.XLOOKUP(A249,[2]Sheet1!$A:$A,[2]Sheet1!$G:$G,"non trovato")</f>
        <v>41.8583189</v>
      </c>
      <c r="H249">
        <f>_xlfn.XLOOKUP(A249,[2]Sheet1!$A:$A,[2]Sheet1!$H:$H,"non trovato")</f>
        <v>12.451320600000001</v>
      </c>
    </row>
    <row r="250" spans="1:8" x14ac:dyDescent="0.25">
      <c r="A250" s="1" t="str">
        <v>500000203867</v>
      </c>
      <c r="B250" s="1" t="str">
        <f>_xlfn.XLOOKUP(A250,[1]!TabellaContenitori[PdR],[1]!TabellaContenitori[AET])</f>
        <v>PORTUENSE</v>
      </c>
      <c r="C250" s="1" t="str">
        <f>_xlfn.XLOOKUP(A250,[1]!TabellaContenitori[PdR],[1]!TabellaContenitori[Numero civico])</f>
        <v>52</v>
      </c>
      <c r="D250" s="1" t="str">
        <f t="shared" si="6"/>
        <v>PORTUENSE, 52, Roma</v>
      </c>
      <c r="E250" s="1" t="str">
        <f t="shared" si="7"/>
        <v>PORTUENSE</v>
      </c>
      <c r="F250" s="1" t="str">
        <f>_xlfn.XLOOKUP(B250,[1]!Tabella_N_Assi[Indirizzo],[1]!Tabella_N_Assi[Tipo Mezzo Preferenziale],"non trovato")</f>
        <v>non trovato</v>
      </c>
      <c r="G250">
        <f>_xlfn.XLOOKUP(A250,[2]Sheet1!$A:$A,[2]Sheet1!$G:$G,"non trovato")</f>
        <v>41.857723200000002</v>
      </c>
      <c r="H250">
        <f>_xlfn.XLOOKUP(A250,[2]Sheet1!$A:$A,[2]Sheet1!$H:$H,"non trovato")</f>
        <v>12.450469</v>
      </c>
    </row>
    <row r="251" spans="1:8" x14ac:dyDescent="0.25">
      <c r="A251" s="1" t="str">
        <v>500000061711</v>
      </c>
      <c r="B251" s="1" t="str">
        <f>_xlfn.XLOOKUP(A251,[1]!TabellaContenitori[PdR],[1]!TabellaContenitori[AET])</f>
        <v>VIGNA PIA</v>
      </c>
      <c r="C251" s="1" t="str">
        <f>_xlfn.XLOOKUP(A251,[1]!TabellaContenitori[PdR],[1]!TabellaContenitori[Numero civico])</f>
        <v>20</v>
      </c>
      <c r="D251" s="1" t="str">
        <f t="shared" si="6"/>
        <v>VIGNA PIA, 20, Roma</v>
      </c>
      <c r="E251" s="1" t="str">
        <f t="shared" si="7"/>
        <v>VIGNA PIA</v>
      </c>
      <c r="F251" s="1" t="str">
        <f>_xlfn.XLOOKUP(B251,[1]!Tabella_N_Assi[Indirizzo],[1]!Tabella_N_Assi[Tipo Mezzo Preferenziale],"non trovato")</f>
        <v>non trovato</v>
      </c>
      <c r="G251">
        <f>_xlfn.XLOOKUP(A251,[2]Sheet1!$A:$A,[2]Sheet1!$G:$G,"non trovato")</f>
        <v>41.8599836</v>
      </c>
      <c r="H251">
        <f>_xlfn.XLOOKUP(A251,[2]Sheet1!$A:$A,[2]Sheet1!$H:$H,"non trovato")</f>
        <v>12.452554900000001</v>
      </c>
    </row>
    <row r="252" spans="1:8" x14ac:dyDescent="0.25">
      <c r="A252" s="1" t="str">
        <v>500000066278</v>
      </c>
      <c r="B252" s="1" t="str">
        <f>_xlfn.XLOOKUP(A252,[1]!TabellaContenitori[PdR],[1]!TabellaContenitori[AET])</f>
        <v>VIGNA PIA</v>
      </c>
      <c r="C252" s="1" t="str">
        <f>_xlfn.XLOOKUP(A252,[1]!TabellaContenitori[PdR],[1]!TabellaContenitori[Numero civico])</f>
        <v>79</v>
      </c>
      <c r="D252" s="1" t="str">
        <f t="shared" si="6"/>
        <v>VIGNA PIA, 79, Roma</v>
      </c>
      <c r="E252" s="1" t="str">
        <f t="shared" si="7"/>
        <v>VIGNA PIA</v>
      </c>
      <c r="F252" s="1" t="str">
        <f>_xlfn.XLOOKUP(B252,[1]!Tabella_N_Assi[Indirizzo],[1]!Tabella_N_Assi[Tipo Mezzo Preferenziale],"non trovato")</f>
        <v>non trovato</v>
      </c>
      <c r="G252">
        <f>_xlfn.XLOOKUP(A252,[2]Sheet1!$A:$A,[2]Sheet1!$G:$G,"non trovato")</f>
        <v>41.859755</v>
      </c>
      <c r="H252">
        <f>_xlfn.XLOOKUP(A252,[2]Sheet1!$A:$A,[2]Sheet1!$H:$H,"non trovato")</f>
        <v>12.4579895</v>
      </c>
    </row>
    <row r="253" spans="1:8" x14ac:dyDescent="0.25">
      <c r="A253" s="1" t="str">
        <v>500000097822</v>
      </c>
      <c r="B253" s="1" t="str">
        <f>_xlfn.XLOOKUP(A253,[1]!TabellaContenitori[PdR],[1]!TabellaContenitori[AET])</f>
        <v>PORTUENSE</v>
      </c>
      <c r="C253" s="1" t="str">
        <f>_xlfn.XLOOKUP(A253,[1]!TabellaContenitori[PdR],[1]!TabellaContenitori[Numero civico])</f>
        <v>549</v>
      </c>
      <c r="D253" s="1" t="str">
        <f t="shared" si="6"/>
        <v>PORTUENSE, 549, Roma</v>
      </c>
      <c r="E253" s="1" t="str">
        <f t="shared" si="7"/>
        <v>PORTUENSE</v>
      </c>
      <c r="F253" s="1" t="str">
        <f>_xlfn.XLOOKUP(B253,[1]!Tabella_N_Assi[Indirizzo],[1]!Tabella_N_Assi[Tipo Mezzo Preferenziale],"non trovato")</f>
        <v>non trovato</v>
      </c>
      <c r="G253">
        <f>_xlfn.XLOOKUP(A253,[2]Sheet1!$A:$A,[2]Sheet1!$G:$G,"non trovato")</f>
        <v>41.870518400000002</v>
      </c>
      <c r="H253">
        <f>_xlfn.XLOOKUP(A253,[2]Sheet1!$A:$A,[2]Sheet1!$H:$H,"non trovato")</f>
        <v>12.4653882</v>
      </c>
    </row>
    <row r="254" spans="1:8" x14ac:dyDescent="0.25">
      <c r="A254" s="1" t="str">
        <v>500000100620</v>
      </c>
      <c r="B254" s="1" t="str">
        <f>_xlfn.XLOOKUP(A254,[1]!TabellaContenitori[PdR],[1]!TabellaContenitori[AET])</f>
        <v>PORTUENSE</v>
      </c>
      <c r="C254" s="1" t="str">
        <f>_xlfn.XLOOKUP(A254,[1]!TabellaContenitori[PdR],[1]!TabellaContenitori[Numero civico])</f>
        <v>169</v>
      </c>
      <c r="D254" s="1" t="str">
        <f t="shared" si="6"/>
        <v>PORTUENSE, 169, Roma</v>
      </c>
      <c r="E254" s="1" t="str">
        <f t="shared" si="7"/>
        <v>PORTUENSE</v>
      </c>
      <c r="F254" s="1" t="str">
        <f>_xlfn.XLOOKUP(B254,[1]!Tabella_N_Assi[Indirizzo],[1]!Tabella_N_Assi[Tipo Mezzo Preferenziale],"non trovato")</f>
        <v>non trovato</v>
      </c>
      <c r="G254">
        <f>_xlfn.XLOOKUP(A254,[2]Sheet1!$A:$A,[2]Sheet1!$G:$G,"non trovato")</f>
        <v>41.867226500000001</v>
      </c>
      <c r="H254">
        <f>_xlfn.XLOOKUP(A254,[2]Sheet1!$A:$A,[2]Sheet1!$H:$H,"non trovato")</f>
        <v>12.4627888</v>
      </c>
    </row>
    <row r="255" spans="1:8" x14ac:dyDescent="0.25">
      <c r="A255" s="1" t="str">
        <v>500000100614</v>
      </c>
      <c r="B255" s="1" t="str">
        <f>_xlfn.XLOOKUP(A255,[1]!TabellaContenitori[PdR],[1]!TabellaContenitori[AET])</f>
        <v>PORTUENSE</v>
      </c>
      <c r="C255" s="1" t="str">
        <f>_xlfn.XLOOKUP(A255,[1]!TabellaContenitori[PdR],[1]!TabellaContenitori[Numero civico])</f>
        <v>135</v>
      </c>
      <c r="D255" s="1" t="str">
        <f t="shared" si="6"/>
        <v>PORTUENSE, 135, Roma</v>
      </c>
      <c r="E255" s="1" t="str">
        <f t="shared" si="7"/>
        <v>PORTUENSE</v>
      </c>
      <c r="F255" s="1" t="str">
        <f>_xlfn.XLOOKUP(B255,[1]!Tabella_N_Assi[Indirizzo],[1]!Tabella_N_Assi[Tipo Mezzo Preferenziale],"non trovato")</f>
        <v>non trovato</v>
      </c>
      <c r="G255">
        <f>_xlfn.XLOOKUP(A255,[2]Sheet1!$A:$A,[2]Sheet1!$G:$G,"non trovato")</f>
        <v>41.867226500000001</v>
      </c>
      <c r="H255">
        <f>_xlfn.XLOOKUP(A255,[2]Sheet1!$A:$A,[2]Sheet1!$H:$H,"non trovato")</f>
        <v>12.4627888</v>
      </c>
    </row>
    <row r="256" spans="1:8" x14ac:dyDescent="0.25">
      <c r="A256" s="1" t="str">
        <v>500000068671</v>
      </c>
      <c r="B256" s="1" t="str">
        <f>_xlfn.XLOOKUP(A256,[1]!TabellaContenitori[PdR],[1]!TabellaContenitori[AET])</f>
        <v>VIGNA PIA</v>
      </c>
      <c r="C256" s="1" t="str">
        <f>_xlfn.XLOOKUP(A256,[1]!TabellaContenitori[PdR],[1]!TabellaContenitori[Numero civico])</f>
        <v>75</v>
      </c>
      <c r="D256" s="1" t="str">
        <f t="shared" si="6"/>
        <v>VIGNA PIA, 75, Roma</v>
      </c>
      <c r="E256" s="1" t="str">
        <f t="shared" si="7"/>
        <v>VIGNA PIA</v>
      </c>
      <c r="F256" s="1" t="str">
        <f>_xlfn.XLOOKUP(B256,[1]!Tabella_N_Assi[Indirizzo],[1]!Tabella_N_Assi[Tipo Mezzo Preferenziale],"non trovato")</f>
        <v>non trovato</v>
      </c>
      <c r="G256">
        <f>_xlfn.XLOOKUP(A256,[2]Sheet1!$A:$A,[2]Sheet1!$G:$G,"non trovato")</f>
        <v>41.860209099999999</v>
      </c>
      <c r="H256">
        <f>_xlfn.XLOOKUP(A256,[2]Sheet1!$A:$A,[2]Sheet1!$H:$H,"non trovato")</f>
        <v>12.458497100000001</v>
      </c>
    </row>
    <row r="257" spans="1:8" x14ac:dyDescent="0.25">
      <c r="A257" s="1" t="str">
        <v>500000019221</v>
      </c>
      <c r="B257" s="1" t="str">
        <f>_xlfn.XLOOKUP(A257,[1]!TabellaContenitori[PdR],[1]!TabellaContenitori[AET])</f>
        <v>VIGNA PIA</v>
      </c>
      <c r="C257" s="1" t="str">
        <f>_xlfn.XLOOKUP(A257,[1]!TabellaContenitori[PdR],[1]!TabellaContenitori[Numero civico])</f>
        <v>65</v>
      </c>
      <c r="D257" s="1" t="str">
        <f t="shared" si="6"/>
        <v>VIGNA PIA, 65, Roma</v>
      </c>
      <c r="E257" s="1" t="str">
        <f t="shared" si="7"/>
        <v>VIGNA PIA</v>
      </c>
      <c r="F257" s="1" t="str">
        <f>_xlfn.XLOOKUP(B257,[1]!Tabella_N_Assi[Indirizzo],[1]!Tabella_N_Assi[Tipo Mezzo Preferenziale],"non trovato")</f>
        <v>non trovato</v>
      </c>
      <c r="G257">
        <f>_xlfn.XLOOKUP(A257,[2]Sheet1!$A:$A,[2]Sheet1!$G:$G,"non trovato")</f>
        <v>41.861824900000002</v>
      </c>
      <c r="H257">
        <f>_xlfn.XLOOKUP(A257,[2]Sheet1!$A:$A,[2]Sheet1!$H:$H,"non trovato")</f>
        <v>12.453670799999999</v>
      </c>
    </row>
    <row r="258" spans="1:8" x14ac:dyDescent="0.25">
      <c r="A258" s="1" t="str">
        <v>500000026385</v>
      </c>
      <c r="B258" s="1" t="str">
        <f>_xlfn.XLOOKUP(A258,[1]!TabellaContenitori[PdR],[1]!TabellaContenitori[AET])</f>
        <v>FRATTINI</v>
      </c>
      <c r="C258" s="1" t="str">
        <f>_xlfn.XLOOKUP(A258,[1]!TabellaContenitori[PdR],[1]!TabellaContenitori[Numero civico])</f>
        <v>2</v>
      </c>
      <c r="D258" s="1" t="str">
        <f t="shared" si="6"/>
        <v>FRATTINI, 2, Roma</v>
      </c>
      <c r="E258" s="1" t="str">
        <f t="shared" si="7"/>
        <v>FRATTINI</v>
      </c>
      <c r="F258" s="1" t="str">
        <f>_xlfn.XLOOKUP(B258,[1]!Tabella_N_Assi[Indirizzo],[1]!Tabella_N_Assi[Tipo Mezzo Preferenziale],"non trovato")</f>
        <v>non trovato</v>
      </c>
      <c r="G258">
        <f>_xlfn.XLOOKUP(A258,[2]Sheet1!$A:$A,[2]Sheet1!$G:$G,"non trovato")</f>
        <v>41.849945400000003</v>
      </c>
      <c r="H258">
        <f>_xlfn.XLOOKUP(A258,[2]Sheet1!$A:$A,[2]Sheet1!$H:$H,"non trovato")</f>
        <v>12.452703</v>
      </c>
    </row>
    <row r="259" spans="1:8" x14ac:dyDescent="0.25">
      <c r="A259" s="1" t="str">
        <v>500000110795</v>
      </c>
      <c r="B259" s="1" t="str">
        <f>_xlfn.XLOOKUP(A259,[1]!TabellaContenitori[PdR],[1]!TabellaContenitori[AET])</f>
        <v>MAGLIANA NUOVA</v>
      </c>
      <c r="C259" s="1" t="str">
        <f>_xlfn.XLOOKUP(A259,[1]!TabellaContenitori[PdR],[1]!TabellaContenitori[Numero civico])</f>
        <v>11</v>
      </c>
      <c r="D259" s="1" t="str">
        <f t="shared" ref="D259:D322" si="8">CONCATENATE(B259,", ",C259,", Roma")</f>
        <v>MAGLIANA NUOVA, 11, Roma</v>
      </c>
      <c r="E259" s="1" t="str">
        <f t="shared" ref="E259:E322" si="9">_xlfn.TEXTBEFORE(D259,",")</f>
        <v>MAGLIANA NUOVA</v>
      </c>
      <c r="F259" s="1" t="str">
        <f>_xlfn.XLOOKUP(B259,[1]!Tabella_N_Assi[Indirizzo],[1]!Tabella_N_Assi[Tipo Mezzo Preferenziale],"non trovato")</f>
        <v>non trovato</v>
      </c>
      <c r="G259">
        <f>_xlfn.XLOOKUP(A259,[2]Sheet1!$A:$A,[2]Sheet1!$G:$G,"non trovato")</f>
        <v>41.848885099999997</v>
      </c>
      <c r="H259">
        <f>_xlfn.XLOOKUP(A259,[2]Sheet1!$A:$A,[2]Sheet1!$H:$H,"non trovato")</f>
        <v>12.4638267</v>
      </c>
    </row>
    <row r="260" spans="1:8" x14ac:dyDescent="0.25">
      <c r="A260" s="1" t="str">
        <v>500000075882</v>
      </c>
      <c r="B260" s="1" t="str">
        <f>_xlfn.XLOOKUP(A260,[1]!TabellaContenitori[PdR],[1]!TabellaContenitori[AET])</f>
        <v>MAGLIANA</v>
      </c>
      <c r="C260" s="1" t="str">
        <f>_xlfn.XLOOKUP(A260,[1]!TabellaContenitori[PdR],[1]!TabellaContenitori[Numero civico])</f>
        <v>152</v>
      </c>
      <c r="D260" s="1" t="str">
        <f t="shared" si="8"/>
        <v>MAGLIANA, 152, Roma</v>
      </c>
      <c r="E260" s="1" t="str">
        <f t="shared" si="9"/>
        <v>MAGLIANA</v>
      </c>
      <c r="F260" s="1" t="str">
        <f>_xlfn.XLOOKUP(B260,[1]!Tabella_N_Assi[Indirizzo],[1]!Tabella_N_Assi[Tipo Mezzo Preferenziale],"non trovato")</f>
        <v>non trovato</v>
      </c>
      <c r="G260">
        <f>_xlfn.XLOOKUP(A260,[2]Sheet1!$A:$A,[2]Sheet1!$G:$G,"non trovato")</f>
        <v>41.821498800000001</v>
      </c>
      <c r="H260">
        <f>_xlfn.XLOOKUP(A260,[2]Sheet1!$A:$A,[2]Sheet1!$H:$H,"non trovato")</f>
        <v>12.394792799999999</v>
      </c>
    </row>
    <row r="261" spans="1:8" x14ac:dyDescent="0.25">
      <c r="A261" s="1" t="str">
        <v>500000075878</v>
      </c>
      <c r="B261" s="1" t="str">
        <f>_xlfn.XLOOKUP(A261,[1]!TabellaContenitori[PdR],[1]!TabellaContenitori[AET])</f>
        <v>MAGLIANA</v>
      </c>
      <c r="C261" s="1" t="str">
        <f>_xlfn.XLOOKUP(A261,[1]!TabellaContenitori[PdR],[1]!TabellaContenitori[Numero civico])</f>
        <v>144</v>
      </c>
      <c r="D261" s="1" t="str">
        <f t="shared" si="8"/>
        <v>MAGLIANA, 144, Roma</v>
      </c>
      <c r="E261" s="1" t="str">
        <f t="shared" si="9"/>
        <v>MAGLIANA</v>
      </c>
      <c r="F261" s="1" t="str">
        <f>_xlfn.XLOOKUP(B261,[1]!Tabella_N_Assi[Indirizzo],[1]!Tabella_N_Assi[Tipo Mezzo Preferenziale],"non trovato")</f>
        <v>non trovato</v>
      </c>
      <c r="G261">
        <f>_xlfn.XLOOKUP(A261,[2]Sheet1!$A:$A,[2]Sheet1!$G:$G,"non trovato")</f>
        <v>41.821498800000001</v>
      </c>
      <c r="H261">
        <f>_xlfn.XLOOKUP(A261,[2]Sheet1!$A:$A,[2]Sheet1!$H:$H,"non trovato")</f>
        <v>12.394792799999999</v>
      </c>
    </row>
    <row r="262" spans="1:8" x14ac:dyDescent="0.25">
      <c r="A262" s="1" t="str">
        <v>500000036014</v>
      </c>
      <c r="B262" s="1" t="str">
        <f>_xlfn.XLOOKUP(A262,[1]!TabellaContenitori[PdR],[1]!TabellaContenitori[AET])</f>
        <v>MAGLIANA NUOVA</v>
      </c>
      <c r="C262" s="1" t="str">
        <f>_xlfn.XLOOKUP(A262,[1]!TabellaContenitori[PdR],[1]!TabellaContenitori[Numero civico])</f>
        <v>13</v>
      </c>
      <c r="D262" s="1" t="str">
        <f t="shared" si="8"/>
        <v>MAGLIANA NUOVA, 13, Roma</v>
      </c>
      <c r="E262" s="1" t="str">
        <f t="shared" si="9"/>
        <v>MAGLIANA NUOVA</v>
      </c>
      <c r="F262" s="1" t="str">
        <f>_xlfn.XLOOKUP(B262,[1]!Tabella_N_Assi[Indirizzo],[1]!Tabella_N_Assi[Tipo Mezzo Preferenziale],"non trovato")</f>
        <v>non trovato</v>
      </c>
      <c r="G262">
        <f>_xlfn.XLOOKUP(A262,[2]Sheet1!$A:$A,[2]Sheet1!$G:$G,"non trovato")</f>
        <v>41.8482944</v>
      </c>
      <c r="H262">
        <f>_xlfn.XLOOKUP(A262,[2]Sheet1!$A:$A,[2]Sheet1!$H:$H,"non trovato")</f>
        <v>12.463433999999999</v>
      </c>
    </row>
    <row r="263" spans="1:8" x14ac:dyDescent="0.25">
      <c r="A263" s="1" t="str">
        <v>500000093865</v>
      </c>
      <c r="B263" s="1" t="str">
        <f>_xlfn.XLOOKUP(A263,[1]!TabellaContenitori[PdR],[1]!TabellaContenitori[AET])</f>
        <v>TRULLO - MONTE CUCCO</v>
      </c>
      <c r="C263" s="1" t="str">
        <f>_xlfn.XLOOKUP(A263,[1]!TabellaContenitori[PdR],[1]!TabellaContenitori[Numero civico])</f>
        <v>11</v>
      </c>
      <c r="D263" s="1" t="str">
        <f t="shared" si="8"/>
        <v>TRULLO - MONTE CUCCO, 11, Roma</v>
      </c>
      <c r="E263" s="1" t="str">
        <f t="shared" si="9"/>
        <v>TRULLO - MONTE CUCCO</v>
      </c>
      <c r="F263" s="1" t="str">
        <f>_xlfn.XLOOKUP(B263,[1]!Tabella_N_Assi[Indirizzo],[1]!Tabella_N_Assi[Tipo Mezzo Preferenziale],"non trovato")</f>
        <v>non trovato</v>
      </c>
      <c r="G263">
        <f>_xlfn.XLOOKUP(A263,[2]Sheet1!$A:$A,[2]Sheet1!$G:$G,"non trovato")</f>
        <v>41.842407199999997</v>
      </c>
      <c r="H263">
        <f>_xlfn.XLOOKUP(A263,[2]Sheet1!$A:$A,[2]Sheet1!$H:$H,"non trovato")</f>
        <v>12.440671</v>
      </c>
    </row>
    <row r="264" spans="1:8" x14ac:dyDescent="0.25">
      <c r="A264" s="1" t="str">
        <v>500000107198</v>
      </c>
      <c r="B264" s="1" t="str">
        <f>_xlfn.XLOOKUP(A264,[1]!TabellaContenitori[PdR],[1]!TabellaContenitori[AET])</f>
        <v>TRULLO - MONTE CUCCO</v>
      </c>
      <c r="C264" s="1" t="str">
        <f>_xlfn.XLOOKUP(A264,[1]!TabellaContenitori[PdR],[1]!TabellaContenitori[Numero civico])</f>
        <v>70</v>
      </c>
      <c r="D264" s="1" t="str">
        <f t="shared" si="8"/>
        <v>TRULLO - MONTE CUCCO, 70, Roma</v>
      </c>
      <c r="E264" s="1" t="str">
        <f t="shared" si="9"/>
        <v>TRULLO - MONTE CUCCO</v>
      </c>
      <c r="F264" s="1" t="str">
        <f>_xlfn.XLOOKUP(B264,[1]!Tabella_N_Assi[Indirizzo],[1]!Tabella_N_Assi[Tipo Mezzo Preferenziale],"non trovato")</f>
        <v>non trovato</v>
      </c>
      <c r="G264">
        <f>_xlfn.XLOOKUP(A264,[2]Sheet1!$A:$A,[2]Sheet1!$G:$G,"non trovato")</f>
        <v>41.852133799999997</v>
      </c>
      <c r="H264">
        <f>_xlfn.XLOOKUP(A264,[2]Sheet1!$A:$A,[2]Sheet1!$H:$H,"non trovato")</f>
        <v>12.444683899999999</v>
      </c>
    </row>
    <row r="265" spans="1:8" x14ac:dyDescent="0.25">
      <c r="A265" s="1" t="str">
        <v>500000083208</v>
      </c>
      <c r="B265" s="1" t="str">
        <f>_xlfn.XLOOKUP(A265,[1]!TabellaContenitori[PdR],[1]!TabellaContenitori[AET])</f>
        <v>TRULLO - MONTE CUCCO</v>
      </c>
      <c r="C265" s="1" t="str">
        <f>_xlfn.XLOOKUP(A265,[1]!TabellaContenitori[PdR],[1]!TabellaContenitori[Numero civico])</f>
        <v>127</v>
      </c>
      <c r="D265" s="1" t="str">
        <f t="shared" si="8"/>
        <v>TRULLO - MONTE CUCCO, 127, Roma</v>
      </c>
      <c r="E265" s="1" t="str">
        <f t="shared" si="9"/>
        <v>TRULLO - MONTE CUCCO</v>
      </c>
      <c r="F265" s="1" t="str">
        <f>_xlfn.XLOOKUP(B265,[1]!Tabella_N_Assi[Indirizzo],[1]!Tabella_N_Assi[Tipo Mezzo Preferenziale],"non trovato")</f>
        <v>non trovato</v>
      </c>
      <c r="G265">
        <f>_xlfn.XLOOKUP(A265,[2]Sheet1!$A:$A,[2]Sheet1!$G:$G,"non trovato")</f>
        <v>41.844543299999998</v>
      </c>
      <c r="H265">
        <f>_xlfn.XLOOKUP(A265,[2]Sheet1!$A:$A,[2]Sheet1!$H:$H,"non trovato")</f>
        <v>12.4381301</v>
      </c>
    </row>
    <row r="266" spans="1:8" x14ac:dyDescent="0.25">
      <c r="A266" s="1" t="str">
        <v>500000123538</v>
      </c>
      <c r="B266" s="1" t="str">
        <f>_xlfn.XLOOKUP(A266,[1]!TabellaContenitori[PdR],[1]!TabellaContenitori[AET])</f>
        <v>TRULLO - MONTE CUCCO</v>
      </c>
      <c r="C266" s="1" t="str">
        <f>_xlfn.XLOOKUP(A266,[1]!TabellaContenitori[PdR],[1]!TabellaContenitori[Numero civico])</f>
        <v>21</v>
      </c>
      <c r="D266" s="1" t="str">
        <f t="shared" si="8"/>
        <v>TRULLO - MONTE CUCCO, 21, Roma</v>
      </c>
      <c r="E266" s="1" t="str">
        <f t="shared" si="9"/>
        <v>TRULLO - MONTE CUCCO</v>
      </c>
      <c r="F266" s="1" t="str">
        <f>_xlfn.XLOOKUP(B266,[1]!Tabella_N_Assi[Indirizzo],[1]!Tabella_N_Assi[Tipo Mezzo Preferenziale],"non trovato")</f>
        <v>non trovato</v>
      </c>
      <c r="G266">
        <f>_xlfn.XLOOKUP(A266,[2]Sheet1!$A:$A,[2]Sheet1!$G:$G,"non trovato")</f>
        <v>41.843424800000001</v>
      </c>
      <c r="H266">
        <f>_xlfn.XLOOKUP(A266,[2]Sheet1!$A:$A,[2]Sheet1!$H:$H,"non trovato")</f>
        <v>12.4382193</v>
      </c>
    </row>
    <row r="267" spans="1:8" x14ac:dyDescent="0.25">
      <c r="A267" s="1" t="str">
        <v>500000063720</v>
      </c>
      <c r="B267" s="1" t="str">
        <f>_xlfn.XLOOKUP(A267,[1]!TabellaContenitori[PdR],[1]!TabellaContenitori[AET])</f>
        <v>TRULLO - MONTE CUCCO</v>
      </c>
      <c r="C267" s="1" t="str">
        <f>_xlfn.XLOOKUP(A267,[1]!TabellaContenitori[PdR],[1]!TabellaContenitori[Numero civico])</f>
        <v>99999</v>
      </c>
      <c r="D267" s="1" t="str">
        <f t="shared" si="8"/>
        <v>TRULLO - MONTE CUCCO, 99999, Roma</v>
      </c>
      <c r="E267" s="1" t="str">
        <f t="shared" si="9"/>
        <v>TRULLO - MONTE CUCCO</v>
      </c>
      <c r="F267" s="1" t="str">
        <f>_xlfn.XLOOKUP(B267,[1]!Tabella_N_Assi[Indirizzo],[1]!Tabella_N_Assi[Tipo Mezzo Preferenziale],"non trovato")</f>
        <v>non trovato</v>
      </c>
      <c r="G267">
        <f>_xlfn.XLOOKUP(A267,[2]Sheet1!$A:$A,[2]Sheet1!$G:$G,"non trovato")</f>
        <v>41.842391120000002</v>
      </c>
      <c r="H267">
        <f>_xlfn.XLOOKUP(A267,[2]Sheet1!$A:$A,[2]Sheet1!$H:$H,"non trovato")</f>
        <v>12.44165317</v>
      </c>
    </row>
    <row r="268" spans="1:8" x14ac:dyDescent="0.25">
      <c r="A268" s="1" t="str">
        <v>500000120353</v>
      </c>
      <c r="B268" s="1" t="str">
        <f>_xlfn.XLOOKUP(A268,[1]!TabellaContenitori[PdR],[1]!TabellaContenitori[AET])</f>
        <v>TRULLO - MONTE CUCCO</v>
      </c>
      <c r="C268" s="1" t="str">
        <f>_xlfn.XLOOKUP(A268,[1]!TabellaContenitori[PdR],[1]!TabellaContenitori[Numero civico])</f>
        <v>431</v>
      </c>
      <c r="D268" s="1" t="str">
        <f t="shared" si="8"/>
        <v>TRULLO - MONTE CUCCO, 431, Roma</v>
      </c>
      <c r="E268" s="1" t="str">
        <f t="shared" si="9"/>
        <v>TRULLO - MONTE CUCCO</v>
      </c>
      <c r="F268" s="1" t="str">
        <f>_xlfn.XLOOKUP(B268,[1]!Tabella_N_Assi[Indirizzo],[1]!Tabella_N_Assi[Tipo Mezzo Preferenziale],"non trovato")</f>
        <v>non trovato</v>
      </c>
      <c r="G268">
        <f>_xlfn.XLOOKUP(A268,[2]Sheet1!$A:$A,[2]Sheet1!$G:$G,"non trovato")</f>
        <v>41.8431517</v>
      </c>
      <c r="H268">
        <f>_xlfn.XLOOKUP(A268,[2]Sheet1!$A:$A,[2]Sheet1!$H:$H,"non trovato")</f>
        <v>12.436747499999999</v>
      </c>
    </row>
    <row r="269" spans="1:8" x14ac:dyDescent="0.25">
      <c r="A269" s="1" t="str">
        <v>500000009860</v>
      </c>
      <c r="B269" s="1" t="str">
        <f>_xlfn.XLOOKUP(A269,[1]!TabellaContenitori[PdR],[1]!TabellaContenitori[AET])</f>
        <v>CASETTA MATTEI</v>
      </c>
      <c r="C269" s="1" t="str">
        <f>_xlfn.XLOOKUP(A269,[1]!TabellaContenitori[PdR],[1]!TabellaContenitori[Numero civico])</f>
        <v>132</v>
      </c>
      <c r="D269" s="1" t="str">
        <f t="shared" si="8"/>
        <v>CASETTA MATTEI, 132, Roma</v>
      </c>
      <c r="E269" s="1" t="str">
        <f t="shared" si="9"/>
        <v>CASETTA MATTEI</v>
      </c>
      <c r="F269" s="1" t="str">
        <f>_xlfn.XLOOKUP(B269,[1]!Tabella_N_Assi[Indirizzo],[1]!Tabella_N_Assi[Tipo Mezzo Preferenziale],"non trovato")</f>
        <v>non trovato</v>
      </c>
      <c r="G269">
        <f>_xlfn.XLOOKUP(A269,[2]Sheet1!$A:$A,[2]Sheet1!$G:$G,"non trovato")</f>
        <v>41.852748300000002</v>
      </c>
      <c r="H269">
        <f>_xlfn.XLOOKUP(A269,[2]Sheet1!$A:$A,[2]Sheet1!$H:$H,"non trovato")</f>
        <v>12.425168299999999</v>
      </c>
    </row>
    <row r="270" spans="1:8" x14ac:dyDescent="0.25">
      <c r="A270" s="1" t="str">
        <v>500000083035</v>
      </c>
      <c r="B270" s="1" t="str">
        <f>_xlfn.XLOOKUP(A270,[1]!TabellaContenitori[PdR],[1]!TabellaContenitori[AET])</f>
        <v>TRULLO - MONTE DELLE CAPRE</v>
      </c>
      <c r="C270" s="1" t="str">
        <f>_xlfn.XLOOKUP(A270,[1]!TabellaContenitori[PdR],[1]!TabellaContenitori[Numero civico])</f>
        <v>24</v>
      </c>
      <c r="D270" s="1" t="str">
        <f t="shared" si="8"/>
        <v>TRULLO - MONTE DELLE CAPRE, 24, Roma</v>
      </c>
      <c r="E270" s="1" t="str">
        <f t="shared" si="9"/>
        <v>TRULLO - MONTE DELLE CAPRE</v>
      </c>
      <c r="F270" s="1" t="str">
        <f>_xlfn.XLOOKUP(B270,[1]!Tabella_N_Assi[Indirizzo],[1]!Tabella_N_Assi[Tipo Mezzo Preferenziale],"non trovato")</f>
        <v>non trovato</v>
      </c>
      <c r="G270">
        <f>_xlfn.XLOOKUP(A270,[2]Sheet1!$A:$A,[2]Sheet1!$G:$G,"non trovato")</f>
        <v>41.845074400000001</v>
      </c>
      <c r="H270">
        <f>_xlfn.XLOOKUP(A270,[2]Sheet1!$A:$A,[2]Sheet1!$H:$H,"non trovato")</f>
        <v>12.4281592</v>
      </c>
    </row>
    <row r="271" spans="1:8" x14ac:dyDescent="0.25">
      <c r="A271" s="1" t="str">
        <v>500000009855</v>
      </c>
      <c r="B271" s="1" t="str">
        <f>_xlfn.XLOOKUP(A271,[1]!TabellaContenitori[PdR],[1]!TabellaContenitori[AET])</f>
        <v>CASETTA MATTEI</v>
      </c>
      <c r="C271" s="1" t="str">
        <f>_xlfn.XLOOKUP(A271,[1]!TabellaContenitori[PdR],[1]!TabellaContenitori[Numero civico])</f>
        <v>33</v>
      </c>
      <c r="D271" s="1" t="str">
        <f t="shared" si="8"/>
        <v>CASETTA MATTEI, 33, Roma</v>
      </c>
      <c r="E271" s="1" t="str">
        <f t="shared" si="9"/>
        <v>CASETTA MATTEI</v>
      </c>
      <c r="F271" s="1" t="str">
        <f>_xlfn.XLOOKUP(B271,[1]!Tabella_N_Assi[Indirizzo],[1]!Tabella_N_Assi[Tipo Mezzo Preferenziale],"non trovato")</f>
        <v>non trovato</v>
      </c>
      <c r="G271">
        <f>_xlfn.XLOOKUP(A271,[2]Sheet1!$A:$A,[2]Sheet1!$G:$G,"non trovato")</f>
        <v>41.852748300000002</v>
      </c>
      <c r="H271">
        <f>_xlfn.XLOOKUP(A271,[2]Sheet1!$A:$A,[2]Sheet1!$H:$H,"non trovato")</f>
        <v>12.425168299999999</v>
      </c>
    </row>
    <row r="272" spans="1:8" x14ac:dyDescent="0.25">
      <c r="A272" s="1" t="str">
        <v>500000125886</v>
      </c>
      <c r="B272" s="1" t="str">
        <f>_xlfn.XLOOKUP(A272,[1]!TabellaContenitori[PdR],[1]!TabellaContenitori[AET])</f>
        <v>CASETTA MATTEI</v>
      </c>
      <c r="C272" s="1" t="str">
        <f>_xlfn.XLOOKUP(A272,[1]!TabellaContenitori[PdR],[1]!TabellaContenitori[Numero civico])</f>
        <v>26</v>
      </c>
      <c r="D272" s="1" t="str">
        <f t="shared" si="8"/>
        <v>CASETTA MATTEI, 26, Roma</v>
      </c>
      <c r="E272" s="1" t="str">
        <f t="shared" si="9"/>
        <v>CASETTA MATTEI</v>
      </c>
      <c r="F272" s="1" t="str">
        <f>_xlfn.XLOOKUP(B272,[1]!Tabella_N_Assi[Indirizzo],[1]!Tabella_N_Assi[Tipo Mezzo Preferenziale],"non trovato")</f>
        <v>non trovato</v>
      </c>
      <c r="G272">
        <f>_xlfn.XLOOKUP(A272,[2]Sheet1!$A:$A,[2]Sheet1!$G:$G,"non trovato")</f>
        <v>41.857720999999998</v>
      </c>
      <c r="H272">
        <f>_xlfn.XLOOKUP(A272,[2]Sheet1!$A:$A,[2]Sheet1!$H:$H,"non trovato")</f>
        <v>12.417929900000001</v>
      </c>
    </row>
    <row r="273" spans="1:8" x14ac:dyDescent="0.25">
      <c r="A273" s="1" t="str">
        <v>500000027330</v>
      </c>
      <c r="B273" s="1" t="str">
        <f>_xlfn.XLOOKUP(A273,[1]!TabellaContenitori[PdR],[1]!TabellaContenitori[AET])</f>
        <v>CASETTA MATTEI</v>
      </c>
      <c r="C273" s="1" t="str">
        <f>_xlfn.XLOOKUP(A273,[1]!TabellaContenitori[PdR],[1]!TabellaContenitori[Numero civico])</f>
        <v>8</v>
      </c>
      <c r="D273" s="1" t="str">
        <f t="shared" si="8"/>
        <v>CASETTA MATTEI, 8, Roma</v>
      </c>
      <c r="E273" s="1" t="str">
        <f t="shared" si="9"/>
        <v>CASETTA MATTEI</v>
      </c>
      <c r="F273" s="1" t="str">
        <f>_xlfn.XLOOKUP(B273,[1]!Tabella_N_Assi[Indirizzo],[1]!Tabella_N_Assi[Tipo Mezzo Preferenziale],"non trovato")</f>
        <v>non trovato</v>
      </c>
      <c r="G273">
        <f>_xlfn.XLOOKUP(A273,[2]Sheet1!$A:$A,[2]Sheet1!$G:$G,"non trovato")</f>
        <v>41.8562826</v>
      </c>
      <c r="H273">
        <f>_xlfn.XLOOKUP(A273,[2]Sheet1!$A:$A,[2]Sheet1!$H:$H,"non trovato")</f>
        <v>12.422466399999999</v>
      </c>
    </row>
    <row r="274" spans="1:8" x14ac:dyDescent="0.25">
      <c r="A274" s="1" t="str">
        <v>500000097860</v>
      </c>
      <c r="B274" s="1" t="str">
        <f>_xlfn.XLOOKUP(A274,[1]!TabellaContenitori[PdR],[1]!TabellaContenitori[AET])</f>
        <v>CORVIALE</v>
      </c>
      <c r="C274" s="1" t="str">
        <f>_xlfn.XLOOKUP(A274,[1]!TabellaContenitori[PdR],[1]!TabellaContenitori[Numero civico])</f>
        <v>727</v>
      </c>
      <c r="D274" s="1" t="str">
        <f t="shared" si="8"/>
        <v>CORVIALE, 727, Roma</v>
      </c>
      <c r="E274" s="1" t="str">
        <f t="shared" si="9"/>
        <v>CORVIALE</v>
      </c>
      <c r="F274" s="1" t="str">
        <f>_xlfn.XLOOKUP(B274,[1]!Tabella_N_Assi[Indirizzo],[1]!Tabella_N_Assi[Tipo Mezzo Preferenziale],"non trovato")</f>
        <v>non trovato</v>
      </c>
      <c r="G274">
        <f>_xlfn.XLOOKUP(A274,[2]Sheet1!$A:$A,[2]Sheet1!$G:$G,"non trovato")</f>
        <v>41.870518400000002</v>
      </c>
      <c r="H274">
        <f>_xlfn.XLOOKUP(A274,[2]Sheet1!$A:$A,[2]Sheet1!$H:$H,"non trovato")</f>
        <v>12.4653882</v>
      </c>
    </row>
    <row r="275" spans="1:8" x14ac:dyDescent="0.25">
      <c r="A275" s="1" t="str">
        <v>500000125885</v>
      </c>
      <c r="B275" s="1" t="str">
        <f>_xlfn.XLOOKUP(A275,[1]!TabellaContenitori[PdR],[1]!TabellaContenitori[AET])</f>
        <v>CASETTA MATTEI</v>
      </c>
      <c r="C275" s="1" t="str">
        <f>_xlfn.XLOOKUP(A275,[1]!TabellaContenitori[PdR],[1]!TabellaContenitori[Numero civico])</f>
        <v>6</v>
      </c>
      <c r="D275" s="1" t="str">
        <f t="shared" si="8"/>
        <v>CASETTA MATTEI, 6, Roma</v>
      </c>
      <c r="E275" s="1" t="str">
        <f t="shared" si="9"/>
        <v>CASETTA MATTEI</v>
      </c>
      <c r="F275" s="1" t="str">
        <f>_xlfn.XLOOKUP(B275,[1]!Tabella_N_Assi[Indirizzo],[1]!Tabella_N_Assi[Tipo Mezzo Preferenziale],"non trovato")</f>
        <v>non trovato</v>
      </c>
      <c r="G275">
        <f>_xlfn.XLOOKUP(A275,[2]Sheet1!$A:$A,[2]Sheet1!$G:$G,"non trovato")</f>
        <v>41.857720999999998</v>
      </c>
      <c r="H275">
        <f>_xlfn.XLOOKUP(A275,[2]Sheet1!$A:$A,[2]Sheet1!$H:$H,"non trovato")</f>
        <v>12.417929900000001</v>
      </c>
    </row>
    <row r="276" spans="1:8" x14ac:dyDescent="0.25">
      <c r="A276" s="1" t="str">
        <v>500000032907</v>
      </c>
      <c r="B276" s="1" t="str">
        <f>_xlfn.XLOOKUP(A276,[1]!TabellaContenitori[PdR],[1]!TabellaContenitori[AET])</f>
        <v>CASETTA MATTEI</v>
      </c>
      <c r="C276" s="1" t="str">
        <f>_xlfn.XLOOKUP(A276,[1]!TabellaContenitori[PdR],[1]!TabellaContenitori[Numero civico])</f>
        <v>132</v>
      </c>
      <c r="D276" s="1" t="str">
        <f t="shared" si="8"/>
        <v>CASETTA MATTEI, 132, Roma</v>
      </c>
      <c r="E276" s="1" t="str">
        <f t="shared" si="9"/>
        <v>CASETTA MATTEI</v>
      </c>
      <c r="F276" s="1" t="str">
        <f>_xlfn.XLOOKUP(B276,[1]!Tabella_N_Assi[Indirizzo],[1]!Tabella_N_Assi[Tipo Mezzo Preferenziale],"non trovato")</f>
        <v>non trovato</v>
      </c>
      <c r="G276">
        <f>_xlfn.XLOOKUP(A276,[2]Sheet1!$A:$A,[2]Sheet1!$G:$G,"non trovato")</f>
        <v>41.859758599999999</v>
      </c>
      <c r="H276">
        <f>_xlfn.XLOOKUP(A276,[2]Sheet1!$A:$A,[2]Sheet1!$H:$H,"non trovato")</f>
        <v>12.419367100000001</v>
      </c>
    </row>
    <row r="277" spans="1:8" x14ac:dyDescent="0.25">
      <c r="A277" s="1" t="str">
        <v>500000120326</v>
      </c>
      <c r="B277" s="1" t="str">
        <f>_xlfn.XLOOKUP(A277,[1]!TabellaContenitori[PdR],[1]!TabellaContenitori[AET])</f>
        <v>TRULLO - MONTE DELLE CAPRE</v>
      </c>
      <c r="C277" s="1" t="str">
        <f>_xlfn.XLOOKUP(A277,[1]!TabellaContenitori[PdR],[1]!TabellaContenitori[Numero civico])</f>
        <v>214</v>
      </c>
      <c r="D277" s="1" t="str">
        <f t="shared" si="8"/>
        <v>TRULLO - MONTE DELLE CAPRE, 214, Roma</v>
      </c>
      <c r="E277" s="1" t="str">
        <f t="shared" si="9"/>
        <v>TRULLO - MONTE DELLE CAPRE</v>
      </c>
      <c r="F277" s="1" t="str">
        <f>_xlfn.XLOOKUP(B277,[1]!Tabella_N_Assi[Indirizzo],[1]!Tabella_N_Assi[Tipo Mezzo Preferenziale],"non trovato")</f>
        <v>non trovato</v>
      </c>
      <c r="G277">
        <f>_xlfn.XLOOKUP(A277,[2]Sheet1!$A:$A,[2]Sheet1!$G:$G,"non trovato")</f>
        <v>41.8431517</v>
      </c>
      <c r="H277">
        <f>_xlfn.XLOOKUP(A277,[2]Sheet1!$A:$A,[2]Sheet1!$H:$H,"non trovato")</f>
        <v>12.436747499999999</v>
      </c>
    </row>
    <row r="278" spans="1:8" x14ac:dyDescent="0.25">
      <c r="A278" s="1" t="str">
        <v>500000134759</v>
      </c>
      <c r="B278" s="1" t="str">
        <f>_xlfn.XLOOKUP(A278,[1]!TabellaContenitori[PdR],[1]!TabellaContenitori[AET])</f>
        <v>TRULLO - MONTE DELLE CAPRE</v>
      </c>
      <c r="C278" s="1" t="str">
        <f>_xlfn.XLOOKUP(A278,[1]!TabellaContenitori[PdR],[1]!TabellaContenitori[Numero civico])</f>
        <v>24</v>
      </c>
      <c r="D278" s="1" t="str">
        <f t="shared" si="8"/>
        <v>TRULLO - MONTE DELLE CAPRE, 24, Roma</v>
      </c>
      <c r="E278" s="1" t="str">
        <f t="shared" si="9"/>
        <v>TRULLO - MONTE DELLE CAPRE</v>
      </c>
      <c r="F278" s="1" t="str">
        <f>_xlfn.XLOOKUP(B278,[1]!Tabella_N_Assi[Indirizzo],[1]!Tabella_N_Assi[Tipo Mezzo Preferenziale],"non trovato")</f>
        <v>non trovato</v>
      </c>
      <c r="G278">
        <f>_xlfn.XLOOKUP(A278,[2]Sheet1!$A:$A,[2]Sheet1!$G:$G,"non trovato")</f>
        <v>41.836736500000001</v>
      </c>
      <c r="H278">
        <f>_xlfn.XLOOKUP(A278,[2]Sheet1!$A:$A,[2]Sheet1!$H:$H,"non trovato")</f>
        <v>12.4262792</v>
      </c>
    </row>
    <row r="279" spans="1:8" x14ac:dyDescent="0.25">
      <c r="A279" s="1" t="str">
        <v>500000032919</v>
      </c>
      <c r="B279" s="1" t="str">
        <f>_xlfn.XLOOKUP(A279,[1]!TabellaContenitori[PdR],[1]!TabellaContenitori[AET])</f>
        <v>CASETTA MATTEI</v>
      </c>
      <c r="C279" s="1" t="str">
        <f>_xlfn.XLOOKUP(A279,[1]!TabellaContenitori[PdR],[1]!TabellaContenitori[Numero civico])</f>
        <v>224</v>
      </c>
      <c r="D279" s="1" t="str">
        <f t="shared" si="8"/>
        <v>CASETTA MATTEI, 224, Roma</v>
      </c>
      <c r="E279" s="1" t="str">
        <f t="shared" si="9"/>
        <v>CASETTA MATTEI</v>
      </c>
      <c r="F279" s="1" t="str">
        <f>_xlfn.XLOOKUP(B279,[1]!Tabella_N_Assi[Indirizzo],[1]!Tabella_N_Assi[Tipo Mezzo Preferenziale],"non trovato")</f>
        <v>non trovato</v>
      </c>
      <c r="G279">
        <f>_xlfn.XLOOKUP(A279,[2]Sheet1!$A:$A,[2]Sheet1!$G:$G,"non trovato")</f>
        <v>41.859758599999999</v>
      </c>
      <c r="H279">
        <f>_xlfn.XLOOKUP(A279,[2]Sheet1!$A:$A,[2]Sheet1!$H:$H,"non trovato")</f>
        <v>12.419367100000001</v>
      </c>
    </row>
    <row r="280" spans="1:8" x14ac:dyDescent="0.25">
      <c r="A280" s="1" t="str">
        <v>500000025634</v>
      </c>
      <c r="B280" s="1" t="str">
        <f>_xlfn.XLOOKUP(A280,[1]!TabellaContenitori[PdR],[1]!TabellaContenitori[AET])</f>
        <v>CASETTA MATTEI</v>
      </c>
      <c r="C280" s="1" t="str">
        <f>_xlfn.XLOOKUP(A280,[1]!TabellaContenitori[PdR],[1]!TabellaContenitori[Numero civico])</f>
        <v>99999</v>
      </c>
      <c r="D280" s="1" t="str">
        <f t="shared" si="8"/>
        <v>CASETTA MATTEI, 99999, Roma</v>
      </c>
      <c r="E280" s="1" t="str">
        <f t="shared" si="9"/>
        <v>CASETTA MATTEI</v>
      </c>
      <c r="F280" s="1" t="str">
        <f>_xlfn.XLOOKUP(B280,[1]!Tabella_N_Assi[Indirizzo],[1]!Tabella_N_Assi[Tipo Mezzo Preferenziale],"non trovato")</f>
        <v>non trovato</v>
      </c>
      <c r="G280">
        <f>_xlfn.XLOOKUP(A280,[2]Sheet1!$A:$A,[2]Sheet1!$G:$G,"non trovato")</f>
        <v>41.854630450000002</v>
      </c>
      <c r="H280">
        <f>_xlfn.XLOOKUP(A280,[2]Sheet1!$A:$A,[2]Sheet1!$H:$H,"non trovato")</f>
        <v>12.425788199998999</v>
      </c>
    </row>
    <row r="281" spans="1:8" x14ac:dyDescent="0.25">
      <c r="A281" s="1" t="str">
        <v>500000150191</v>
      </c>
      <c r="B281" s="1" t="str">
        <f>_xlfn.XLOOKUP(A281,[1]!TabellaContenitori[PdR],[1]!TabellaContenitori[AET])</f>
        <v>CASETTA MATTEI</v>
      </c>
      <c r="C281" s="1" t="str">
        <f>_xlfn.XLOOKUP(A281,[1]!TabellaContenitori[PdR],[1]!TabellaContenitori[Numero civico])</f>
        <v>110</v>
      </c>
      <c r="D281" s="1" t="str">
        <f t="shared" si="8"/>
        <v>CASETTA MATTEI, 110, Roma</v>
      </c>
      <c r="E281" s="1" t="str">
        <f t="shared" si="9"/>
        <v>CASETTA MATTEI</v>
      </c>
      <c r="F281" s="1" t="str">
        <f>_xlfn.XLOOKUP(B281,[1]!Tabella_N_Assi[Indirizzo],[1]!Tabella_N_Assi[Tipo Mezzo Preferenziale],"non trovato")</f>
        <v>non trovato</v>
      </c>
      <c r="G281">
        <f>_xlfn.XLOOKUP(A281,[2]Sheet1!$A:$A,[2]Sheet1!$G:$G,"non trovato")</f>
        <v>41.856881700000002</v>
      </c>
      <c r="H281">
        <f>_xlfn.XLOOKUP(A281,[2]Sheet1!$A:$A,[2]Sheet1!$H:$H,"non trovato")</f>
        <v>12.4290529</v>
      </c>
    </row>
    <row r="282" spans="1:8" x14ac:dyDescent="0.25">
      <c r="A282" s="1" t="str">
        <v>500000173020</v>
      </c>
      <c r="B282" s="1" t="str">
        <f>_xlfn.XLOOKUP(A282,[1]!TabellaContenitori[PdR],[1]!TabellaContenitori[AET])</f>
        <v>PONTE GALERIA - PIANA DEL SOL</v>
      </c>
      <c r="C282" s="1" t="str">
        <f>_xlfn.XLOOKUP(A282,[1]!TabellaContenitori[PdR],[1]!TabellaContenitori[Numero civico])</f>
        <v>42</v>
      </c>
      <c r="D282" s="1" t="str">
        <f t="shared" si="8"/>
        <v>PONTE GALERIA - PIANA DEL SOL, 42, Roma</v>
      </c>
      <c r="E282" s="1" t="str">
        <f t="shared" si="9"/>
        <v>PONTE GALERIA - PIANA DEL SOL</v>
      </c>
      <c r="F282" s="1" t="str">
        <f>_xlfn.XLOOKUP(B282,[1]!Tabella_N_Assi[Indirizzo],[1]!Tabella_N_Assi[Tipo Mezzo Preferenziale],"non trovato")</f>
        <v>non trovato</v>
      </c>
      <c r="G282">
        <f>_xlfn.XLOOKUP(A282,[2]Sheet1!$A:$A,[2]Sheet1!$G:$G,"non trovato")</f>
        <v>41.828956900000001</v>
      </c>
      <c r="H282">
        <f>_xlfn.XLOOKUP(A282,[2]Sheet1!$A:$A,[2]Sheet1!$H:$H,"non trovato")</f>
        <v>12.3935312</v>
      </c>
    </row>
    <row r="283" spans="1:8" x14ac:dyDescent="0.25">
      <c r="A283" s="1" t="str">
        <v>500000173020</v>
      </c>
      <c r="B283" s="1" t="str">
        <f>_xlfn.XLOOKUP(A283,[1]!TabellaContenitori[PdR],[1]!TabellaContenitori[AET])</f>
        <v>PONTE GALERIA - PIANA DEL SOL</v>
      </c>
      <c r="C283" s="1" t="str">
        <f>_xlfn.XLOOKUP(A283,[1]!TabellaContenitori[PdR],[1]!TabellaContenitori[Numero civico])</f>
        <v>42</v>
      </c>
      <c r="D283" s="1" t="str">
        <f t="shared" si="8"/>
        <v>PONTE GALERIA - PIANA DEL SOL, 42, Roma</v>
      </c>
      <c r="E283" s="1" t="str">
        <f t="shared" si="9"/>
        <v>PONTE GALERIA - PIANA DEL SOL</v>
      </c>
      <c r="F283" s="1" t="str">
        <f>_xlfn.XLOOKUP(B283,[1]!Tabella_N_Assi[Indirizzo],[1]!Tabella_N_Assi[Tipo Mezzo Preferenziale],"non trovato")</f>
        <v>non trovato</v>
      </c>
      <c r="G283">
        <f>_xlfn.XLOOKUP(A283,[2]Sheet1!$A:$A,[2]Sheet1!$G:$G,"non trovato")</f>
        <v>41.828956900000001</v>
      </c>
      <c r="H283">
        <f>_xlfn.XLOOKUP(A283,[2]Sheet1!$A:$A,[2]Sheet1!$H:$H,"non trovato")</f>
        <v>12.3935312</v>
      </c>
    </row>
    <row r="284" spans="1:8" x14ac:dyDescent="0.25">
      <c r="A284" s="1" t="str">
        <v>500000122344</v>
      </c>
      <c r="B284" s="1" t="str">
        <f>_xlfn.XLOOKUP(A284,[1]!TabellaContenitori[PdR],[1]!TabellaContenitori[AET])</f>
        <v>PONTE GALERIA - PIANA DEL SOL</v>
      </c>
      <c r="C284" s="1" t="str">
        <f>_xlfn.XLOOKUP(A284,[1]!TabellaContenitori[PdR],[1]!TabellaContenitori[Numero civico])</f>
        <v>10</v>
      </c>
      <c r="D284" s="1" t="str">
        <f t="shared" si="8"/>
        <v>PONTE GALERIA - PIANA DEL SOL, 10, Roma</v>
      </c>
      <c r="E284" s="1" t="str">
        <f t="shared" si="9"/>
        <v>PONTE GALERIA - PIANA DEL SOL</v>
      </c>
      <c r="F284" s="1" t="str">
        <f>_xlfn.XLOOKUP(B284,[1]!Tabella_N_Assi[Indirizzo],[1]!Tabella_N_Assi[Tipo Mezzo Preferenziale],"non trovato")</f>
        <v>non trovato</v>
      </c>
      <c r="G284">
        <f>_xlfn.XLOOKUP(A284,[2]Sheet1!$A:$A,[2]Sheet1!$G:$G,"non trovato")</f>
        <v>41.830034400000002</v>
      </c>
      <c r="H284">
        <f>_xlfn.XLOOKUP(A284,[2]Sheet1!$A:$A,[2]Sheet1!$H:$H,"non trovato")</f>
        <v>12.381682899999999</v>
      </c>
    </row>
    <row r="285" spans="1:8" x14ac:dyDescent="0.25">
      <c r="A285" s="1" t="str">
        <v>500000205705</v>
      </c>
      <c r="B285" s="1" t="str">
        <f>_xlfn.XLOOKUP(A285,[1]!TabellaContenitori[PdR],[1]!TabellaContenitori[AET])</f>
        <v>VIGNA PIA</v>
      </c>
      <c r="C285" s="1" t="str">
        <f>_xlfn.XLOOKUP(A285,[1]!TabellaContenitori[PdR],[1]!TabellaContenitori[Numero civico])</f>
        <v>133</v>
      </c>
      <c r="D285" s="1" t="str">
        <f t="shared" si="8"/>
        <v>VIGNA PIA, 133, Roma</v>
      </c>
      <c r="E285" s="1" t="str">
        <f t="shared" si="9"/>
        <v>VIGNA PIA</v>
      </c>
      <c r="F285" s="1" t="str">
        <f>_xlfn.XLOOKUP(B285,[1]!Tabella_N_Assi[Indirizzo],[1]!Tabella_N_Assi[Tipo Mezzo Preferenziale],"non trovato")</f>
        <v>non trovato</v>
      </c>
      <c r="G285">
        <f>_xlfn.XLOOKUP(A285,[2]Sheet1!$A:$A,[2]Sheet1!$G:$G,"non trovato")</f>
        <v>41.863008100000002</v>
      </c>
      <c r="H285">
        <f>_xlfn.XLOOKUP(A285,[2]Sheet1!$A:$A,[2]Sheet1!$H:$H,"non trovato")</f>
        <v>12.459636400000001</v>
      </c>
    </row>
    <row r="286" spans="1:8" x14ac:dyDescent="0.25">
      <c r="A286" s="1" t="str">
        <v>500000205651</v>
      </c>
      <c r="B286" s="1" t="str">
        <f>_xlfn.XLOOKUP(A286,[1]!TabellaContenitori[PdR],[1]!TabellaContenitori[AET])</f>
        <v>VIGNA PIA</v>
      </c>
      <c r="C286" s="1" t="str">
        <f>_xlfn.XLOOKUP(A286,[1]!TabellaContenitori[PdR],[1]!TabellaContenitori[Numero civico])</f>
        <v>65</v>
      </c>
      <c r="D286" s="1" t="str">
        <f t="shared" si="8"/>
        <v>VIGNA PIA, 65, Roma</v>
      </c>
      <c r="E286" s="1" t="str">
        <f t="shared" si="9"/>
        <v>VIGNA PIA</v>
      </c>
      <c r="F286" s="1" t="str">
        <f>_xlfn.XLOOKUP(B286,[1]!Tabella_N_Assi[Indirizzo],[1]!Tabella_N_Assi[Tipo Mezzo Preferenziale],"non trovato")</f>
        <v>non trovato</v>
      </c>
      <c r="G286">
        <f>_xlfn.XLOOKUP(A286,[2]Sheet1!$A:$A,[2]Sheet1!$G:$G,"non trovato")</f>
        <v>41.863008100000002</v>
      </c>
      <c r="H286">
        <f>_xlfn.XLOOKUP(A286,[2]Sheet1!$A:$A,[2]Sheet1!$H:$H,"non trovato")</f>
        <v>12.459636400000001</v>
      </c>
    </row>
    <row r="287" spans="1:8" x14ac:dyDescent="0.25">
      <c r="A287" s="1" t="str">
        <v>500000173021</v>
      </c>
      <c r="B287" s="1" t="str">
        <f>_xlfn.XLOOKUP(A287,[1]!TabellaContenitori[PdR],[1]!TabellaContenitori[AET])</f>
        <v>PONTE GALERIA - PIANA DEL SOL</v>
      </c>
      <c r="C287" s="1" t="str">
        <f>_xlfn.XLOOKUP(A287,[1]!TabellaContenitori[PdR],[1]!TabellaContenitori[Numero civico])</f>
        <v>42</v>
      </c>
      <c r="D287" s="1" t="str">
        <f t="shared" si="8"/>
        <v>PONTE GALERIA - PIANA DEL SOL, 42, Roma</v>
      </c>
      <c r="E287" s="1" t="str">
        <f t="shared" si="9"/>
        <v>PONTE GALERIA - PIANA DEL SOL</v>
      </c>
      <c r="F287" s="1" t="str">
        <f>_xlfn.XLOOKUP(B287,[1]!Tabella_N_Assi[Indirizzo],[1]!Tabella_N_Assi[Tipo Mezzo Preferenziale],"non trovato")</f>
        <v>non trovato</v>
      </c>
      <c r="G287">
        <f>_xlfn.XLOOKUP(A287,[2]Sheet1!$A:$A,[2]Sheet1!$G:$G,"non trovato")</f>
        <v>41.828956900000001</v>
      </c>
      <c r="H287">
        <f>_xlfn.XLOOKUP(A287,[2]Sheet1!$A:$A,[2]Sheet1!$H:$H,"non trovato")</f>
        <v>12.3935312</v>
      </c>
    </row>
    <row r="288" spans="1:8" x14ac:dyDescent="0.25">
      <c r="A288" s="1" t="str">
        <v>500000173021</v>
      </c>
      <c r="B288" s="1" t="str">
        <f>_xlfn.XLOOKUP(A288,[1]!TabellaContenitori[PdR],[1]!TabellaContenitori[AET])</f>
        <v>PONTE GALERIA - PIANA DEL SOL</v>
      </c>
      <c r="C288" s="1" t="str">
        <f>_xlfn.XLOOKUP(A288,[1]!TabellaContenitori[PdR],[1]!TabellaContenitori[Numero civico])</f>
        <v>42</v>
      </c>
      <c r="D288" s="1" t="str">
        <f t="shared" si="8"/>
        <v>PONTE GALERIA - PIANA DEL SOL, 42, Roma</v>
      </c>
      <c r="E288" s="1" t="str">
        <f t="shared" si="9"/>
        <v>PONTE GALERIA - PIANA DEL SOL</v>
      </c>
      <c r="F288" s="1" t="str">
        <f>_xlfn.XLOOKUP(B288,[1]!Tabella_N_Assi[Indirizzo],[1]!Tabella_N_Assi[Tipo Mezzo Preferenziale],"non trovato")</f>
        <v>non trovato</v>
      </c>
      <c r="G288">
        <f>_xlfn.XLOOKUP(A288,[2]Sheet1!$A:$A,[2]Sheet1!$G:$G,"non trovato")</f>
        <v>41.828956900000001</v>
      </c>
      <c r="H288">
        <f>_xlfn.XLOOKUP(A288,[2]Sheet1!$A:$A,[2]Sheet1!$H:$H,"non trovato")</f>
        <v>12.3935312</v>
      </c>
    </row>
    <row r="289" spans="1:8" x14ac:dyDescent="0.25">
      <c r="A289" s="1" t="str">
        <v>500000056296</v>
      </c>
      <c r="B289" s="1" t="str">
        <f>_xlfn.XLOOKUP(A289,[1]!TabellaContenitori[PdR],[1]!TabellaContenitori[AET])</f>
        <v>PORTUENSE</v>
      </c>
      <c r="C289" s="1" t="str">
        <f>_xlfn.XLOOKUP(A289,[1]!TabellaContenitori[PdR],[1]!TabellaContenitori[Numero civico])</f>
        <v>12</v>
      </c>
      <c r="D289" s="1" t="str">
        <f t="shared" si="8"/>
        <v>PORTUENSE, 12, Roma</v>
      </c>
      <c r="E289" s="1" t="str">
        <f t="shared" si="9"/>
        <v>PORTUENSE</v>
      </c>
      <c r="F289" s="1" t="str">
        <f>_xlfn.XLOOKUP(B289,[1]!Tabella_N_Assi[Indirizzo],[1]!Tabella_N_Assi[Tipo Mezzo Preferenziale],"non trovato")</f>
        <v>non trovato</v>
      </c>
      <c r="G289">
        <f>_xlfn.XLOOKUP(A289,[2]Sheet1!$A:$A,[2]Sheet1!$G:$G,"non trovato")</f>
        <v>41.858873600000003</v>
      </c>
      <c r="H289">
        <f>_xlfn.XLOOKUP(A289,[2]Sheet1!$A:$A,[2]Sheet1!$H:$H,"non trovato")</f>
        <v>12.4541868</v>
      </c>
    </row>
    <row r="290" spans="1:8" x14ac:dyDescent="0.25">
      <c r="A290" s="1" t="str">
        <v>500000075929</v>
      </c>
      <c r="B290" s="1" t="str">
        <f>_xlfn.XLOOKUP(A290,[1]!TabellaContenitori[PdR],[1]!TabellaContenitori[AET])</f>
        <v>PARCO DE' MEDICI</v>
      </c>
      <c r="C290" s="1" t="str">
        <f>_xlfn.XLOOKUP(A290,[1]!TabellaContenitori[PdR],[1]!TabellaContenitori[Numero civico])</f>
        <v>329</v>
      </c>
      <c r="D290" s="1" t="str">
        <f t="shared" si="8"/>
        <v>PARCO DE' MEDICI, 329, Roma</v>
      </c>
      <c r="E290" s="1" t="str">
        <f t="shared" si="9"/>
        <v>PARCO DE' MEDICI</v>
      </c>
      <c r="F290" s="1" t="str">
        <f>_xlfn.XLOOKUP(B290,[1]!Tabella_N_Assi[Indirizzo],[1]!Tabella_N_Assi[Tipo Mezzo Preferenziale],"non trovato")</f>
        <v>non trovato</v>
      </c>
      <c r="G290">
        <f>_xlfn.XLOOKUP(A290,[2]Sheet1!$A:$A,[2]Sheet1!$G:$G,"non trovato")</f>
        <v>41.839530299998998</v>
      </c>
      <c r="H290">
        <f>_xlfn.XLOOKUP(A290,[2]Sheet1!$A:$A,[2]Sheet1!$H:$H,"non trovato")</f>
        <v>12.454582800000001</v>
      </c>
    </row>
    <row r="291" spans="1:8" x14ac:dyDescent="0.25">
      <c r="A291" s="1" t="str">
        <v>500000009840</v>
      </c>
      <c r="B291" s="1" t="str">
        <f>_xlfn.XLOOKUP(A291,[1]!TabellaContenitori[PdR],[1]!TabellaContenitori[AET])</f>
        <v>TRULLO - MONTE CUCCO</v>
      </c>
      <c r="C291" s="1" t="str">
        <f>_xlfn.XLOOKUP(A291,[1]!TabellaContenitori[PdR],[1]!TabellaContenitori[Numero civico])</f>
        <v>2</v>
      </c>
      <c r="D291" s="1" t="str">
        <f t="shared" si="8"/>
        <v>TRULLO - MONTE CUCCO, 2, Roma</v>
      </c>
      <c r="E291" s="1" t="str">
        <f t="shared" si="9"/>
        <v>TRULLO - MONTE CUCCO</v>
      </c>
      <c r="F291" s="1" t="str">
        <f>_xlfn.XLOOKUP(B291,[1]!Tabella_N_Assi[Indirizzo],[1]!Tabella_N_Assi[Tipo Mezzo Preferenziale],"non trovato")</f>
        <v>non trovato</v>
      </c>
      <c r="G291">
        <f>_xlfn.XLOOKUP(A291,[2]Sheet1!$A:$A,[2]Sheet1!$G:$G,"non trovato")</f>
        <v>41.853992300000002</v>
      </c>
      <c r="H291">
        <f>_xlfn.XLOOKUP(A291,[2]Sheet1!$A:$A,[2]Sheet1!$H:$H,"non trovato")</f>
        <v>12.4453563</v>
      </c>
    </row>
    <row r="292" spans="1:8" x14ac:dyDescent="0.25">
      <c r="A292" s="1" t="str">
        <v>500000173022</v>
      </c>
      <c r="B292" s="1" t="str">
        <f>_xlfn.XLOOKUP(A292,[1]!TabellaContenitori[PdR],[1]!TabellaContenitori[AET])</f>
        <v>PONTE GALERIA - PIANA DEL SOL</v>
      </c>
      <c r="C292" s="1" t="str">
        <f>_xlfn.XLOOKUP(A292,[1]!TabellaContenitori[PdR],[1]!TabellaContenitori[Numero civico])</f>
        <v>54</v>
      </c>
      <c r="D292" s="1" t="str">
        <f t="shared" si="8"/>
        <v>PONTE GALERIA - PIANA DEL SOL, 54, Roma</v>
      </c>
      <c r="E292" s="1" t="str">
        <f t="shared" si="9"/>
        <v>PONTE GALERIA - PIANA DEL SOL</v>
      </c>
      <c r="F292" s="1" t="str">
        <f>_xlfn.XLOOKUP(B292,[1]!Tabella_N_Assi[Indirizzo],[1]!Tabella_N_Assi[Tipo Mezzo Preferenziale],"non trovato")</f>
        <v>non trovato</v>
      </c>
      <c r="G292">
        <f>_xlfn.XLOOKUP(A292,[2]Sheet1!$A:$A,[2]Sheet1!$G:$G,"non trovato")</f>
        <v>41.828956900000001</v>
      </c>
      <c r="H292">
        <f>_xlfn.XLOOKUP(A292,[2]Sheet1!$A:$A,[2]Sheet1!$H:$H,"non trovato")</f>
        <v>12.3935312</v>
      </c>
    </row>
    <row r="293" spans="1:8" x14ac:dyDescent="0.25">
      <c r="A293" s="1" t="str">
        <v>500000068589</v>
      </c>
      <c r="B293" s="1" t="str">
        <f>_xlfn.XLOOKUP(A293,[1]!TabellaContenitori[PdR],[1]!TabellaContenitori[AET])</f>
        <v>MARCONI</v>
      </c>
      <c r="C293" s="1" t="str">
        <f>_xlfn.XLOOKUP(A293,[1]!TabellaContenitori[PdR],[1]!TabellaContenitori[Numero civico])</f>
        <v>87</v>
      </c>
      <c r="D293" s="1" t="str">
        <f t="shared" si="8"/>
        <v>MARCONI, 87, Roma</v>
      </c>
      <c r="E293" s="1" t="str">
        <f t="shared" si="9"/>
        <v>MARCONI</v>
      </c>
      <c r="F293" s="1" t="str">
        <f>_xlfn.XLOOKUP(B293,[1]!Tabella_N_Assi[Indirizzo],[1]!Tabella_N_Assi[Tipo Mezzo Preferenziale],"non trovato")</f>
        <v>non trovato</v>
      </c>
      <c r="G293">
        <f>_xlfn.XLOOKUP(A293,[2]Sheet1!$A:$A,[2]Sheet1!$G:$G,"non trovato")</f>
        <v>41.867822599999997</v>
      </c>
      <c r="H293">
        <f>_xlfn.XLOOKUP(A293,[2]Sheet1!$A:$A,[2]Sheet1!$H:$H,"non trovato")</f>
        <v>12.468511599999999</v>
      </c>
    </row>
    <row r="294" spans="1:8" x14ac:dyDescent="0.25">
      <c r="A294" s="1" t="str">
        <v>500000016713</v>
      </c>
      <c r="B294" s="1" t="str">
        <f>_xlfn.XLOOKUP(A294,[1]!TabellaContenitori[PdR],[1]!TabellaContenitori[AET])</f>
        <v>MARCONI</v>
      </c>
      <c r="C294" s="1" t="str">
        <f>_xlfn.XLOOKUP(A294,[1]!TabellaContenitori[PdR],[1]!TabellaContenitori[Numero civico])</f>
        <v>17</v>
      </c>
      <c r="D294" s="1" t="str">
        <f t="shared" si="8"/>
        <v>MARCONI, 17, Roma</v>
      </c>
      <c r="E294" s="1" t="str">
        <f t="shared" si="9"/>
        <v>MARCONI</v>
      </c>
      <c r="F294" s="1" t="str">
        <f>_xlfn.XLOOKUP(B294,[1]!Tabella_N_Assi[Indirizzo],[1]!Tabella_N_Assi[Tipo Mezzo Preferenziale],"non trovato")</f>
        <v>non trovato</v>
      </c>
      <c r="G294">
        <f>_xlfn.XLOOKUP(A294,[2]Sheet1!$A:$A,[2]Sheet1!$G:$G,"non trovato")</f>
        <v>41.8621853</v>
      </c>
      <c r="H294">
        <f>_xlfn.XLOOKUP(A294,[2]Sheet1!$A:$A,[2]Sheet1!$H:$H,"non trovato")</f>
        <v>12.4689797</v>
      </c>
    </row>
    <row r="295" spans="1:8" x14ac:dyDescent="0.25">
      <c r="A295" s="1" t="str">
        <v>500000103325</v>
      </c>
      <c r="B295" s="1" t="str">
        <f>_xlfn.XLOOKUP(A295,[1]!TabellaContenitori[PdR],[1]!TabellaContenitori[AET])</f>
        <v>FERMI</v>
      </c>
      <c r="C295" s="1" t="str">
        <f>_xlfn.XLOOKUP(A295,[1]!TabellaContenitori[PdR],[1]!TabellaContenitori[Numero civico])</f>
        <v>24</v>
      </c>
      <c r="D295" s="1" t="str">
        <f t="shared" si="8"/>
        <v>FERMI, 24, Roma</v>
      </c>
      <c r="E295" s="1" t="str">
        <f t="shared" si="9"/>
        <v>FERMI</v>
      </c>
      <c r="F295" s="1" t="str">
        <f>_xlfn.XLOOKUP(B295,[1]!Tabella_N_Assi[Indirizzo],[1]!Tabella_N_Assi[Tipo Mezzo Preferenziale],"non trovato")</f>
        <v>non trovato</v>
      </c>
      <c r="G295">
        <f>_xlfn.XLOOKUP(A295,[2]Sheet1!$A:$A,[2]Sheet1!$G:$G,"non trovato")</f>
        <v>41.865074700000001</v>
      </c>
      <c r="H295">
        <f>_xlfn.XLOOKUP(A295,[2]Sheet1!$A:$A,[2]Sheet1!$H:$H,"non trovato")</f>
        <v>12.470387300000001</v>
      </c>
    </row>
    <row r="296" spans="1:8" x14ac:dyDescent="0.25">
      <c r="A296" s="1" t="str">
        <v>500000068591</v>
      </c>
      <c r="B296" s="1" t="str">
        <f>_xlfn.XLOOKUP(A296,[1]!TabellaContenitori[PdR],[1]!TabellaContenitori[AET])</f>
        <v>MARCONI</v>
      </c>
      <c r="C296" s="1" t="str">
        <f>_xlfn.XLOOKUP(A296,[1]!TabellaContenitori[PdR],[1]!TabellaContenitori[Numero civico])</f>
        <v>110</v>
      </c>
      <c r="D296" s="1" t="str">
        <f t="shared" si="8"/>
        <v>MARCONI, 110, Roma</v>
      </c>
      <c r="E296" s="1" t="str">
        <f t="shared" si="9"/>
        <v>MARCONI</v>
      </c>
      <c r="F296" s="1" t="str">
        <f>_xlfn.XLOOKUP(B296,[1]!Tabella_N_Assi[Indirizzo],[1]!Tabella_N_Assi[Tipo Mezzo Preferenziale],"non trovato")</f>
        <v>non trovato</v>
      </c>
      <c r="G296">
        <f>_xlfn.XLOOKUP(A296,[2]Sheet1!$A:$A,[2]Sheet1!$G:$G,"non trovato")</f>
        <v>41.867031400000002</v>
      </c>
      <c r="H296">
        <f>_xlfn.XLOOKUP(A296,[2]Sheet1!$A:$A,[2]Sheet1!$H:$H,"non trovato")</f>
        <v>12.4682358</v>
      </c>
    </row>
    <row r="297" spans="1:8" x14ac:dyDescent="0.25">
      <c r="A297" s="1" t="str">
        <v>500000066217</v>
      </c>
      <c r="B297" s="1" t="str">
        <f>_xlfn.XLOOKUP(A297,[1]!TabellaContenitori[PdR],[1]!TabellaContenitori[AET])</f>
        <v>FERMI</v>
      </c>
      <c r="C297" s="1" t="str">
        <f>_xlfn.XLOOKUP(A297,[1]!TabellaContenitori[PdR],[1]!TabellaContenitori[Numero civico])</f>
        <v>21</v>
      </c>
      <c r="D297" s="1" t="str">
        <f t="shared" si="8"/>
        <v>FERMI, 21, Roma</v>
      </c>
      <c r="E297" s="1" t="str">
        <f t="shared" si="9"/>
        <v>FERMI</v>
      </c>
      <c r="F297" s="1" t="str">
        <f>_xlfn.XLOOKUP(B297,[1]!Tabella_N_Assi[Indirizzo],[1]!Tabella_N_Assi[Tipo Mezzo Preferenziale],"non trovato")</f>
        <v>non trovato</v>
      </c>
      <c r="G297">
        <f>_xlfn.XLOOKUP(A297,[2]Sheet1!$A:$A,[2]Sheet1!$G:$G,"non trovato")</f>
        <v>41.865286400000002</v>
      </c>
      <c r="H297">
        <f>_xlfn.XLOOKUP(A297,[2]Sheet1!$A:$A,[2]Sheet1!$H:$H,"non trovato")</f>
        <v>12.471541</v>
      </c>
    </row>
    <row r="298" spans="1:8" x14ac:dyDescent="0.25">
      <c r="A298" s="1" t="str">
        <v>500000055982</v>
      </c>
      <c r="B298" s="1" t="str">
        <f>_xlfn.XLOOKUP(A298,[1]!TabellaContenitori[PdR],[1]!TabellaContenitori[AET])</f>
        <v>ODERISI DA GUBBIO</v>
      </c>
      <c r="C298" s="1" t="str">
        <f>_xlfn.XLOOKUP(A298,[1]!TabellaContenitori[PdR],[1]!TabellaContenitori[Numero civico])</f>
        <v>117</v>
      </c>
      <c r="D298" s="1" t="str">
        <f t="shared" si="8"/>
        <v>ODERISI DA GUBBIO, 117, Roma</v>
      </c>
      <c r="E298" s="1" t="str">
        <f t="shared" si="9"/>
        <v>ODERISI DA GUBBIO</v>
      </c>
      <c r="F298" s="1" t="str">
        <f>_xlfn.XLOOKUP(B298,[1]!Tabella_N_Assi[Indirizzo],[1]!Tabella_N_Assi[Tipo Mezzo Preferenziale],"non trovato")</f>
        <v>non trovato</v>
      </c>
      <c r="G298">
        <f>_xlfn.XLOOKUP(A298,[2]Sheet1!$A:$A,[2]Sheet1!$G:$G,"non trovato")</f>
        <v>41.864790599999999</v>
      </c>
      <c r="H298">
        <f>_xlfn.XLOOKUP(A298,[2]Sheet1!$A:$A,[2]Sheet1!$H:$H,"non trovato")</f>
        <v>12.4679225</v>
      </c>
    </row>
    <row r="299" spans="1:8" x14ac:dyDescent="0.25">
      <c r="A299" s="1" t="str">
        <v>500000087651</v>
      </c>
      <c r="B299" s="1" t="str">
        <f>_xlfn.XLOOKUP(A299,[1]!TabellaContenitori[PdR],[1]!TabellaContenitori[AET])</f>
        <v>ODERISI DA GUBBIO</v>
      </c>
      <c r="C299" s="1" t="str">
        <f>_xlfn.XLOOKUP(A299,[1]!TabellaContenitori[PdR],[1]!TabellaContenitori[Numero civico])</f>
        <v>186</v>
      </c>
      <c r="D299" s="1" t="str">
        <f t="shared" si="8"/>
        <v>ODERISI DA GUBBIO, 186, Roma</v>
      </c>
      <c r="E299" s="1" t="str">
        <f t="shared" si="9"/>
        <v>ODERISI DA GUBBIO</v>
      </c>
      <c r="F299" s="1" t="str">
        <f>_xlfn.XLOOKUP(B299,[1]!Tabella_N_Assi[Indirizzo],[1]!Tabella_N_Assi[Tipo Mezzo Preferenziale],"non trovato")</f>
        <v>non trovato</v>
      </c>
      <c r="G299">
        <f>_xlfn.XLOOKUP(A299,[2]Sheet1!$A:$A,[2]Sheet1!$G:$G,"non trovato")</f>
        <v>41.8635965</v>
      </c>
      <c r="H299">
        <f>_xlfn.XLOOKUP(A299,[2]Sheet1!$A:$A,[2]Sheet1!$H:$H,"non trovato")</f>
        <v>12.464426700000001</v>
      </c>
    </row>
    <row r="300" spans="1:8" x14ac:dyDescent="0.25">
      <c r="A300" s="1" t="str">
        <v>500000055977</v>
      </c>
      <c r="B300" s="1" t="str">
        <f>_xlfn.XLOOKUP(A300,[1]!TabellaContenitori[PdR],[1]!TabellaContenitori[AET])</f>
        <v>ODERISI DA GUBBIO</v>
      </c>
      <c r="C300" s="1" t="str">
        <f>_xlfn.XLOOKUP(A300,[1]!TabellaContenitori[PdR],[1]!TabellaContenitori[Numero civico])</f>
        <v>44</v>
      </c>
      <c r="D300" s="1" t="str">
        <f t="shared" si="8"/>
        <v>ODERISI DA GUBBIO, 44, Roma</v>
      </c>
      <c r="E300" s="1" t="str">
        <f t="shared" si="9"/>
        <v>ODERISI DA GUBBIO</v>
      </c>
      <c r="F300" s="1" t="str">
        <f>_xlfn.XLOOKUP(B300,[1]!Tabella_N_Assi[Indirizzo],[1]!Tabella_N_Assi[Tipo Mezzo Preferenziale],"non trovato")</f>
        <v>non trovato</v>
      </c>
      <c r="G300">
        <f>_xlfn.XLOOKUP(A300,[2]Sheet1!$A:$A,[2]Sheet1!$G:$G,"non trovato")</f>
        <v>41.864790599999999</v>
      </c>
      <c r="H300">
        <f>_xlfn.XLOOKUP(A300,[2]Sheet1!$A:$A,[2]Sheet1!$H:$H,"non trovato")</f>
        <v>12.4679225</v>
      </c>
    </row>
    <row r="301" spans="1:8" x14ac:dyDescent="0.25">
      <c r="A301" s="1" t="str">
        <v>500000024170</v>
      </c>
      <c r="B301" s="1" t="str">
        <f>_xlfn.XLOOKUP(A301,[1]!TabellaContenitori[PdR],[1]!TabellaContenitori[AET])</f>
        <v>ODERISI DA GUBBIO</v>
      </c>
      <c r="C301" s="1" t="str">
        <f>_xlfn.XLOOKUP(A301,[1]!TabellaContenitori[PdR],[1]!TabellaContenitori[Numero civico])</f>
        <v>41</v>
      </c>
      <c r="D301" s="1" t="str">
        <f t="shared" si="8"/>
        <v>ODERISI DA GUBBIO, 41, Roma</v>
      </c>
      <c r="E301" s="1" t="str">
        <f t="shared" si="9"/>
        <v>ODERISI DA GUBBIO</v>
      </c>
      <c r="F301" s="1" t="str">
        <f>_xlfn.XLOOKUP(B301,[1]!Tabella_N_Assi[Indirizzo],[1]!Tabella_N_Assi[Tipo Mezzo Preferenziale],"non trovato")</f>
        <v>non trovato</v>
      </c>
      <c r="G301">
        <f>_xlfn.XLOOKUP(A301,[2]Sheet1!$A:$A,[2]Sheet1!$G:$G,"non trovato")</f>
        <v>41.867123999999997</v>
      </c>
      <c r="H301">
        <f>_xlfn.XLOOKUP(A301,[2]Sheet1!$A:$A,[2]Sheet1!$H:$H,"non trovato")</f>
        <v>12.467258899999999</v>
      </c>
    </row>
    <row r="302" spans="1:8" x14ac:dyDescent="0.25">
      <c r="A302" s="1" t="str">
        <v>500000094511</v>
      </c>
      <c r="B302" s="1" t="str">
        <f>_xlfn.XLOOKUP(A302,[1]!TabellaContenitori[PdR],[1]!TabellaContenitori[AET])</f>
        <v>FRATTINI</v>
      </c>
      <c r="C302" s="1" t="str">
        <f>_xlfn.XLOOKUP(A302,[1]!TabellaContenitori[PdR],[1]!TabellaContenitori[Numero civico])</f>
        <v>92</v>
      </c>
      <c r="D302" s="1" t="str">
        <f t="shared" si="8"/>
        <v>FRATTINI, 92, Roma</v>
      </c>
      <c r="E302" s="1" t="str">
        <f t="shared" si="9"/>
        <v>FRATTINI</v>
      </c>
      <c r="F302" s="1" t="str">
        <f>_xlfn.XLOOKUP(B302,[1]!Tabella_N_Assi[Indirizzo],[1]!Tabella_N_Assi[Tipo Mezzo Preferenziale],"non trovato")</f>
        <v>non trovato</v>
      </c>
      <c r="G302">
        <f>_xlfn.XLOOKUP(A302,[2]Sheet1!$A:$A,[2]Sheet1!$G:$G,"non trovato")</f>
        <v>41.853628999999998</v>
      </c>
      <c r="H302">
        <f>_xlfn.XLOOKUP(A302,[2]Sheet1!$A:$A,[2]Sheet1!$H:$H,"non trovato")</f>
        <v>12.4476464</v>
      </c>
    </row>
    <row r="303" spans="1:8" x14ac:dyDescent="0.25">
      <c r="A303" s="1" t="str">
        <v>500000058110</v>
      </c>
      <c r="B303" s="1" t="str">
        <f>_xlfn.XLOOKUP(A303,[1]!TabellaContenitori[PdR],[1]!TabellaContenitori[AET])</f>
        <v>VIGNA PIA</v>
      </c>
      <c r="C303" s="1" t="str">
        <f>_xlfn.XLOOKUP(A303,[1]!TabellaContenitori[PdR],[1]!TabellaContenitori[Numero civico])</f>
        <v>99999</v>
      </c>
      <c r="D303" s="1" t="str">
        <f t="shared" si="8"/>
        <v>VIGNA PIA, 99999, Roma</v>
      </c>
      <c r="E303" s="1" t="str">
        <f t="shared" si="9"/>
        <v>VIGNA PIA</v>
      </c>
      <c r="F303" s="1" t="str">
        <f>_xlfn.XLOOKUP(B303,[1]!Tabella_N_Assi[Indirizzo],[1]!Tabella_N_Assi[Tipo Mezzo Preferenziale],"non trovato")</f>
        <v>non trovato</v>
      </c>
      <c r="G303">
        <f>_xlfn.XLOOKUP(A303,[2]Sheet1!$A:$A,[2]Sheet1!$G:$G,"non trovato")</f>
        <v>41.858988799998997</v>
      </c>
      <c r="H303">
        <f>_xlfn.XLOOKUP(A303,[2]Sheet1!$A:$A,[2]Sheet1!$H:$H,"non trovato")</f>
        <v>12.458959200000001</v>
      </c>
    </row>
    <row r="304" spans="1:8" x14ac:dyDescent="0.25">
      <c r="A304" s="1" t="str">
        <v>500000204150</v>
      </c>
      <c r="B304" s="1" t="str">
        <f>_xlfn.XLOOKUP(A304,[1]!TabellaContenitori[PdR],[1]!TabellaContenitori[AET])</f>
        <v>FRATTINI</v>
      </c>
      <c r="C304" s="1" t="str">
        <f>_xlfn.XLOOKUP(A304,[1]!TabellaContenitori[PdR],[1]!TabellaContenitori[Numero civico])</f>
        <v>46</v>
      </c>
      <c r="D304" s="1" t="str">
        <f t="shared" si="8"/>
        <v>FRATTINI, 46, Roma</v>
      </c>
      <c r="E304" s="1" t="str">
        <f t="shared" si="9"/>
        <v>FRATTINI</v>
      </c>
      <c r="F304" s="1" t="str">
        <f>_xlfn.XLOOKUP(B304,[1]!Tabella_N_Assi[Indirizzo],[1]!Tabella_N_Assi[Tipo Mezzo Preferenziale],"non trovato")</f>
        <v>non trovato</v>
      </c>
      <c r="G304">
        <f>_xlfn.XLOOKUP(A304,[2]Sheet1!$A:$A,[2]Sheet1!$G:$G,"non trovato")</f>
        <v>41.854479699999999</v>
      </c>
      <c r="H304">
        <f>_xlfn.XLOOKUP(A304,[2]Sheet1!$A:$A,[2]Sheet1!$H:$H,"non trovato")</f>
        <v>12.450822499999999</v>
      </c>
    </row>
    <row r="305" spans="1:8" x14ac:dyDescent="0.25">
      <c r="A305" s="1" t="str">
        <v>500000094607</v>
      </c>
      <c r="B305" s="1" t="str">
        <f>_xlfn.XLOOKUP(A305,[1]!TabellaContenitori[PdR],[1]!TabellaContenitori[AET])</f>
        <v>FRATTINI</v>
      </c>
      <c r="C305" s="1" t="str">
        <f>_xlfn.XLOOKUP(A305,[1]!TabellaContenitori[PdR],[1]!TabellaContenitori[Numero civico])</f>
        <v>37</v>
      </c>
      <c r="D305" s="1" t="str">
        <f t="shared" si="8"/>
        <v>FRATTINI, 37, Roma</v>
      </c>
      <c r="E305" s="1" t="str">
        <f t="shared" si="9"/>
        <v>FRATTINI</v>
      </c>
      <c r="F305" s="1" t="str">
        <f>_xlfn.XLOOKUP(B305,[1]!Tabella_N_Assi[Indirizzo],[1]!Tabella_N_Assi[Tipo Mezzo Preferenziale],"non trovato")</f>
        <v>non trovato</v>
      </c>
      <c r="G305">
        <f>_xlfn.XLOOKUP(A305,[2]Sheet1!$A:$A,[2]Sheet1!$G:$G,"non trovato")</f>
        <v>41.853891400000002</v>
      </c>
      <c r="H305">
        <f>_xlfn.XLOOKUP(A305,[2]Sheet1!$A:$A,[2]Sheet1!$H:$H,"non trovato")</f>
        <v>12.449409299999999</v>
      </c>
    </row>
    <row r="306" spans="1:8" x14ac:dyDescent="0.25">
      <c r="A306" s="1" t="str">
        <v>500000099769</v>
      </c>
      <c r="B306" s="1" t="str">
        <f>_xlfn.XLOOKUP(A306,[1]!TabellaContenitori[PdR],[1]!TabellaContenitori[AET])</f>
        <v>FRATTINI</v>
      </c>
      <c r="C306" s="1" t="str">
        <f>_xlfn.XLOOKUP(A306,[1]!TabellaContenitori[PdR],[1]!TabellaContenitori[Numero civico])</f>
        <v>11</v>
      </c>
      <c r="D306" s="1" t="str">
        <f t="shared" si="8"/>
        <v>FRATTINI, 11, Roma</v>
      </c>
      <c r="E306" s="1" t="str">
        <f t="shared" si="9"/>
        <v>FRATTINI</v>
      </c>
      <c r="F306" s="1" t="str">
        <f>_xlfn.XLOOKUP(B306,[1]!Tabella_N_Assi[Indirizzo],[1]!Tabella_N_Assi[Tipo Mezzo Preferenziale],"non trovato")</f>
        <v>non trovato</v>
      </c>
      <c r="G306">
        <f>_xlfn.XLOOKUP(A306,[2]Sheet1!$A:$A,[2]Sheet1!$G:$G,"non trovato")</f>
        <v>41.855813499999996</v>
      </c>
      <c r="H306">
        <f>_xlfn.XLOOKUP(A306,[2]Sheet1!$A:$A,[2]Sheet1!$H:$H,"non trovato")</f>
        <v>12.450601900000001</v>
      </c>
    </row>
    <row r="307" spans="1:8" x14ac:dyDescent="0.25">
      <c r="A307" s="1" t="str">
        <v>500000124492</v>
      </c>
      <c r="B307" s="1" t="str">
        <f>_xlfn.XLOOKUP(A307,[1]!TabellaContenitori[PdR],[1]!TabellaContenitori[AET])</f>
        <v>VIGNA PIA</v>
      </c>
      <c r="C307" s="1" t="str">
        <f>_xlfn.XLOOKUP(A307,[1]!TabellaContenitori[PdR],[1]!TabellaContenitori[Numero civico])</f>
        <v>60</v>
      </c>
      <c r="D307" s="1" t="str">
        <f t="shared" si="8"/>
        <v>VIGNA PIA, 60, Roma</v>
      </c>
      <c r="E307" s="1" t="str">
        <f t="shared" si="9"/>
        <v>VIGNA PIA</v>
      </c>
      <c r="F307" s="1" t="str">
        <f>_xlfn.XLOOKUP(B307,[1]!Tabella_N_Assi[Indirizzo],[1]!Tabella_N_Assi[Tipo Mezzo Preferenziale],"non trovato")</f>
        <v>non trovato</v>
      </c>
      <c r="G307">
        <f>_xlfn.XLOOKUP(A307,[2]Sheet1!$A:$A,[2]Sheet1!$G:$G,"non trovato")</f>
        <v>41.863396600000002</v>
      </c>
      <c r="H307">
        <f>_xlfn.XLOOKUP(A307,[2]Sheet1!$A:$A,[2]Sheet1!$H:$H,"non trovato")</f>
        <v>12.4591963</v>
      </c>
    </row>
    <row r="308" spans="1:8" x14ac:dyDescent="0.25">
      <c r="A308" s="1" t="str">
        <v>500000047132</v>
      </c>
      <c r="B308" s="1" t="str">
        <f>_xlfn.XLOOKUP(A308,[1]!TabellaContenitori[PdR],[1]!TabellaContenitori[AET])</f>
        <v>VIGNA PIA</v>
      </c>
      <c r="C308" s="1" t="str">
        <f>_xlfn.XLOOKUP(A308,[1]!TabellaContenitori[PdR],[1]!TabellaContenitori[Numero civico])</f>
        <v>75</v>
      </c>
      <c r="D308" s="1" t="str">
        <f t="shared" si="8"/>
        <v>VIGNA PIA, 75, Roma</v>
      </c>
      <c r="E308" s="1" t="str">
        <f t="shared" si="9"/>
        <v>VIGNA PIA</v>
      </c>
      <c r="F308" s="1" t="str">
        <f>_xlfn.XLOOKUP(B308,[1]!Tabella_N_Assi[Indirizzo],[1]!Tabella_N_Assi[Tipo Mezzo Preferenziale],"non trovato")</f>
        <v>non trovato</v>
      </c>
      <c r="G308">
        <f>_xlfn.XLOOKUP(A308,[2]Sheet1!$A:$A,[2]Sheet1!$G:$G,"non trovato")</f>
        <v>41.859523299999999</v>
      </c>
      <c r="H308">
        <f>_xlfn.XLOOKUP(A308,[2]Sheet1!$A:$A,[2]Sheet1!$H:$H,"non trovato")</f>
        <v>12.4548323</v>
      </c>
    </row>
    <row r="309" spans="1:8" x14ac:dyDescent="0.25">
      <c r="A309" s="1" t="str">
        <v>500000100621</v>
      </c>
      <c r="B309" s="1" t="str">
        <f>_xlfn.XLOOKUP(A309,[1]!TabellaContenitori[PdR],[1]!TabellaContenitori[AET])</f>
        <v>PORTUENSE</v>
      </c>
      <c r="C309" s="1" t="str">
        <f>_xlfn.XLOOKUP(A309,[1]!TabellaContenitori[PdR],[1]!TabellaContenitori[Numero civico])</f>
        <v>172</v>
      </c>
      <c r="D309" s="1" t="str">
        <f t="shared" si="8"/>
        <v>PORTUENSE, 172, Roma</v>
      </c>
      <c r="E309" s="1" t="str">
        <f t="shared" si="9"/>
        <v>PORTUENSE</v>
      </c>
      <c r="F309" s="1" t="str">
        <f>_xlfn.XLOOKUP(B309,[1]!Tabella_N_Assi[Indirizzo],[1]!Tabella_N_Assi[Tipo Mezzo Preferenziale],"non trovato")</f>
        <v>non trovato</v>
      </c>
      <c r="G309">
        <f>_xlfn.XLOOKUP(A309,[2]Sheet1!$A:$A,[2]Sheet1!$G:$G,"non trovato")</f>
        <v>41.867226500000001</v>
      </c>
      <c r="H309">
        <f>_xlfn.XLOOKUP(A309,[2]Sheet1!$A:$A,[2]Sheet1!$H:$H,"non trovato")</f>
        <v>12.4627888</v>
      </c>
    </row>
    <row r="310" spans="1:8" x14ac:dyDescent="0.25">
      <c r="A310" s="1" t="str">
        <v>500000100623</v>
      </c>
      <c r="B310" s="1" t="str">
        <f>_xlfn.XLOOKUP(A310,[1]!TabellaContenitori[PdR],[1]!TabellaContenitori[AET])</f>
        <v>PORTUENSE</v>
      </c>
      <c r="C310" s="1" t="str">
        <f>_xlfn.XLOOKUP(A310,[1]!TabellaContenitori[PdR],[1]!TabellaContenitori[Numero civico])</f>
        <v>199</v>
      </c>
      <c r="D310" s="1" t="str">
        <f t="shared" si="8"/>
        <v>PORTUENSE, 199, Roma</v>
      </c>
      <c r="E310" s="1" t="str">
        <f t="shared" si="9"/>
        <v>PORTUENSE</v>
      </c>
      <c r="F310" s="1" t="str">
        <f>_xlfn.XLOOKUP(B310,[1]!Tabella_N_Assi[Indirizzo],[1]!Tabella_N_Assi[Tipo Mezzo Preferenziale],"non trovato")</f>
        <v>non trovato</v>
      </c>
      <c r="G310">
        <f>_xlfn.XLOOKUP(A310,[2]Sheet1!$A:$A,[2]Sheet1!$G:$G,"non trovato")</f>
        <v>41.867226500000001</v>
      </c>
      <c r="H310">
        <f>_xlfn.XLOOKUP(A310,[2]Sheet1!$A:$A,[2]Sheet1!$H:$H,"non trovato")</f>
        <v>12.4627888</v>
      </c>
    </row>
    <row r="311" spans="1:8" x14ac:dyDescent="0.25">
      <c r="A311" s="1" t="str">
        <v>500000056297</v>
      </c>
      <c r="B311" s="1" t="str">
        <f>_xlfn.XLOOKUP(A311,[1]!TabellaContenitori[PdR],[1]!TabellaContenitori[AET])</f>
        <v>PORTUENSE</v>
      </c>
      <c r="C311" s="1" t="str">
        <f>_xlfn.XLOOKUP(A311,[1]!TabellaContenitori[PdR],[1]!TabellaContenitori[Numero civico])</f>
        <v>15</v>
      </c>
      <c r="D311" s="1" t="str">
        <f t="shared" si="8"/>
        <v>PORTUENSE, 15, Roma</v>
      </c>
      <c r="E311" s="1" t="str">
        <f t="shared" si="9"/>
        <v>PORTUENSE</v>
      </c>
      <c r="F311" s="1" t="str">
        <f>_xlfn.XLOOKUP(B311,[1]!Tabella_N_Assi[Indirizzo],[1]!Tabella_N_Assi[Tipo Mezzo Preferenziale],"non trovato")</f>
        <v>non trovato</v>
      </c>
      <c r="G311">
        <f>_xlfn.XLOOKUP(A311,[2]Sheet1!$A:$A,[2]Sheet1!$G:$G,"non trovato")</f>
        <v>41.858873600000003</v>
      </c>
      <c r="H311">
        <f>_xlfn.XLOOKUP(A311,[2]Sheet1!$A:$A,[2]Sheet1!$H:$H,"non trovato")</f>
        <v>12.4541868</v>
      </c>
    </row>
    <row r="312" spans="1:8" x14ac:dyDescent="0.25">
      <c r="A312" s="1" t="str">
        <v>500000056297</v>
      </c>
      <c r="B312" s="1" t="str">
        <f>_xlfn.XLOOKUP(A312,[1]!TabellaContenitori[PdR],[1]!TabellaContenitori[AET])</f>
        <v>PORTUENSE</v>
      </c>
      <c r="C312" s="1" t="str">
        <f>_xlfn.XLOOKUP(A312,[1]!TabellaContenitori[PdR],[1]!TabellaContenitori[Numero civico])</f>
        <v>15</v>
      </c>
      <c r="D312" s="1" t="str">
        <f t="shared" si="8"/>
        <v>PORTUENSE, 15, Roma</v>
      </c>
      <c r="E312" s="1" t="str">
        <f t="shared" si="9"/>
        <v>PORTUENSE</v>
      </c>
      <c r="F312" s="1" t="str">
        <f>_xlfn.XLOOKUP(B312,[1]!Tabella_N_Assi[Indirizzo],[1]!Tabella_N_Assi[Tipo Mezzo Preferenziale],"non trovato")</f>
        <v>non trovato</v>
      </c>
      <c r="G312">
        <f>_xlfn.XLOOKUP(A312,[2]Sheet1!$A:$A,[2]Sheet1!$G:$G,"non trovato")</f>
        <v>41.858873600000003</v>
      </c>
      <c r="H312">
        <f>_xlfn.XLOOKUP(A312,[2]Sheet1!$A:$A,[2]Sheet1!$H:$H,"non trovato")</f>
        <v>12.4541868</v>
      </c>
    </row>
    <row r="313" spans="1:8" x14ac:dyDescent="0.25">
      <c r="A313" s="1" t="str">
        <v>500000094971</v>
      </c>
      <c r="B313" s="1" t="str">
        <f>_xlfn.XLOOKUP(A313,[1]!TabellaContenitori[PdR],[1]!TabellaContenitori[AET])</f>
        <v>PORTUENSE</v>
      </c>
      <c r="C313" s="1" t="str">
        <f>_xlfn.XLOOKUP(A313,[1]!TabellaContenitori[PdR],[1]!TabellaContenitori[Numero civico])</f>
        <v>19</v>
      </c>
      <c r="D313" s="1" t="str">
        <f t="shared" si="8"/>
        <v>PORTUENSE, 19, Roma</v>
      </c>
      <c r="E313" s="1" t="str">
        <f t="shared" si="9"/>
        <v>PORTUENSE</v>
      </c>
      <c r="F313" s="1" t="str">
        <f>_xlfn.XLOOKUP(B313,[1]!Tabella_N_Assi[Indirizzo],[1]!Tabella_N_Assi[Tipo Mezzo Preferenziale],"non trovato")</f>
        <v>non trovato</v>
      </c>
      <c r="G313">
        <f>_xlfn.XLOOKUP(A313,[2]Sheet1!$A:$A,[2]Sheet1!$G:$G,"non trovato")</f>
        <v>41.8583189</v>
      </c>
      <c r="H313">
        <f>_xlfn.XLOOKUP(A313,[2]Sheet1!$A:$A,[2]Sheet1!$H:$H,"non trovato")</f>
        <v>12.451320600000001</v>
      </c>
    </row>
    <row r="314" spans="1:8" x14ac:dyDescent="0.25">
      <c r="A314" s="1" t="str">
        <v>500000047357</v>
      </c>
      <c r="B314" s="1" t="str">
        <f>_xlfn.XLOOKUP(A314,[1]!TabellaContenitori[PdR],[1]!TabellaContenitori[AET])</f>
        <v>FRATTINI</v>
      </c>
      <c r="C314" s="1" t="str">
        <f>_xlfn.XLOOKUP(A314,[1]!TabellaContenitori[PdR],[1]!TabellaContenitori[Numero civico])</f>
        <v>63</v>
      </c>
      <c r="D314" s="1" t="str">
        <f t="shared" si="8"/>
        <v>FRATTINI, 63, Roma</v>
      </c>
      <c r="E314" s="1" t="str">
        <f t="shared" si="9"/>
        <v>FRATTINI</v>
      </c>
      <c r="F314" s="1" t="str">
        <f>_xlfn.XLOOKUP(B314,[1]!Tabella_N_Assi[Indirizzo],[1]!Tabella_N_Assi[Tipo Mezzo Preferenziale],"non trovato")</f>
        <v>non trovato</v>
      </c>
      <c r="G314">
        <f>_xlfn.XLOOKUP(A314,[2]Sheet1!$A:$A,[2]Sheet1!$G:$G,"non trovato")</f>
        <v>41.849021700000002</v>
      </c>
      <c r="H314">
        <f>_xlfn.XLOOKUP(A314,[2]Sheet1!$A:$A,[2]Sheet1!$H:$H,"non trovato")</f>
        <v>12.450667899999999</v>
      </c>
    </row>
    <row r="315" spans="1:8" x14ac:dyDescent="0.25">
      <c r="A315" s="1" t="str">
        <v>500000062723</v>
      </c>
      <c r="B315" s="1" t="str">
        <f>_xlfn.XLOOKUP(A315,[1]!TabellaContenitori[PdR],[1]!TabellaContenitori[AET])</f>
        <v>PORTUENSE</v>
      </c>
      <c r="C315" s="1" t="str">
        <f>_xlfn.XLOOKUP(A315,[1]!TabellaContenitori[PdR],[1]!TabellaContenitori[Numero civico])</f>
        <v>45</v>
      </c>
      <c r="D315" s="1" t="str">
        <f t="shared" si="8"/>
        <v>PORTUENSE, 45, Roma</v>
      </c>
      <c r="E315" s="1" t="str">
        <f t="shared" si="9"/>
        <v>PORTUENSE</v>
      </c>
      <c r="F315" s="1" t="str">
        <f>_xlfn.XLOOKUP(B315,[1]!Tabella_N_Assi[Indirizzo],[1]!Tabella_N_Assi[Tipo Mezzo Preferenziale],"non trovato")</f>
        <v>non trovato</v>
      </c>
      <c r="G315">
        <f>_xlfn.XLOOKUP(A315,[2]Sheet1!$A:$A,[2]Sheet1!$G:$G,"non trovato")</f>
        <v>41.869229199999999</v>
      </c>
      <c r="H315">
        <f>_xlfn.XLOOKUP(A315,[2]Sheet1!$A:$A,[2]Sheet1!$H:$H,"non trovato")</f>
        <v>12.462877300000001</v>
      </c>
    </row>
    <row r="316" spans="1:8" x14ac:dyDescent="0.25">
      <c r="A316" s="1" t="str">
        <v>500000056298</v>
      </c>
      <c r="B316" s="1" t="str">
        <f>_xlfn.XLOOKUP(A316,[1]!TabellaContenitori[PdR],[1]!TabellaContenitori[AET])</f>
        <v>PORTUENSE</v>
      </c>
      <c r="C316" s="1" t="str">
        <f>_xlfn.XLOOKUP(A316,[1]!TabellaContenitori[PdR],[1]!TabellaContenitori[Numero civico])</f>
        <v>21</v>
      </c>
      <c r="D316" s="1" t="str">
        <f t="shared" si="8"/>
        <v>PORTUENSE, 21, Roma</v>
      </c>
      <c r="E316" s="1" t="str">
        <f t="shared" si="9"/>
        <v>PORTUENSE</v>
      </c>
      <c r="F316" s="1" t="str">
        <f>_xlfn.XLOOKUP(B316,[1]!Tabella_N_Assi[Indirizzo],[1]!Tabella_N_Assi[Tipo Mezzo Preferenziale],"non trovato")</f>
        <v>non trovato</v>
      </c>
      <c r="G316">
        <f>_xlfn.XLOOKUP(A316,[2]Sheet1!$A:$A,[2]Sheet1!$G:$G,"non trovato")</f>
        <v>41.858873600000003</v>
      </c>
      <c r="H316">
        <f>_xlfn.XLOOKUP(A316,[2]Sheet1!$A:$A,[2]Sheet1!$H:$H,"non trovato")</f>
        <v>12.4541868</v>
      </c>
    </row>
    <row r="317" spans="1:8" x14ac:dyDescent="0.25">
      <c r="A317" s="1" t="str">
        <v>500000072139</v>
      </c>
      <c r="B317" s="1" t="str">
        <f>_xlfn.XLOOKUP(A317,[1]!TabellaContenitori[PdR],[1]!TabellaContenitori[AET])</f>
        <v>PORTUENSE</v>
      </c>
      <c r="C317" s="1" t="str">
        <f>_xlfn.XLOOKUP(A317,[1]!TabellaContenitori[PdR],[1]!TabellaContenitori[Numero civico])</f>
        <v>119</v>
      </c>
      <c r="D317" s="1" t="str">
        <f t="shared" si="8"/>
        <v>PORTUENSE, 119, Roma</v>
      </c>
      <c r="E317" s="1" t="str">
        <f t="shared" si="9"/>
        <v>PORTUENSE</v>
      </c>
      <c r="F317" s="1" t="str">
        <f>_xlfn.XLOOKUP(B317,[1]!Tabella_N_Assi[Indirizzo],[1]!Tabella_N_Assi[Tipo Mezzo Preferenziale],"non trovato")</f>
        <v>non trovato</v>
      </c>
      <c r="G317">
        <f>_xlfn.XLOOKUP(A317,[2]Sheet1!$A:$A,[2]Sheet1!$G:$G,"non trovato")</f>
        <v>41.857732400000003</v>
      </c>
      <c r="H317">
        <f>_xlfn.XLOOKUP(A317,[2]Sheet1!$A:$A,[2]Sheet1!$H:$H,"non trovato")</f>
        <v>12.453292599999999</v>
      </c>
    </row>
    <row r="318" spans="1:8" x14ac:dyDescent="0.25">
      <c r="A318" s="1" t="str">
        <v>500000072136</v>
      </c>
      <c r="B318" s="1" t="str">
        <f>_xlfn.XLOOKUP(A318,[1]!TabellaContenitori[PdR],[1]!TabellaContenitori[AET])</f>
        <v>PORTUENSE</v>
      </c>
      <c r="C318" s="1" t="str">
        <f>_xlfn.XLOOKUP(A318,[1]!TabellaContenitori[PdR],[1]!TabellaContenitori[Numero civico])</f>
        <v>36</v>
      </c>
      <c r="D318" s="1" t="str">
        <f t="shared" si="8"/>
        <v>PORTUENSE, 36, Roma</v>
      </c>
      <c r="E318" s="1" t="str">
        <f t="shared" si="9"/>
        <v>PORTUENSE</v>
      </c>
      <c r="F318" s="1" t="str">
        <f>_xlfn.XLOOKUP(B318,[1]!Tabella_N_Assi[Indirizzo],[1]!Tabella_N_Assi[Tipo Mezzo Preferenziale],"non trovato")</f>
        <v>non trovato</v>
      </c>
      <c r="G318">
        <f>_xlfn.XLOOKUP(A318,[2]Sheet1!$A:$A,[2]Sheet1!$G:$G,"non trovato")</f>
        <v>41.857732400000003</v>
      </c>
      <c r="H318">
        <f>_xlfn.XLOOKUP(A318,[2]Sheet1!$A:$A,[2]Sheet1!$H:$H,"non trovato")</f>
        <v>12.453292599999999</v>
      </c>
    </row>
    <row r="319" spans="1:8" x14ac:dyDescent="0.25">
      <c r="A319" s="1" t="str">
        <v>500000062724</v>
      </c>
      <c r="B319" s="1" t="str">
        <f>_xlfn.XLOOKUP(A319,[1]!TabellaContenitori[PdR],[1]!TabellaContenitori[AET])</f>
        <v>PORTUENSE</v>
      </c>
      <c r="C319" s="1" t="str">
        <f>_xlfn.XLOOKUP(A319,[1]!TabellaContenitori[PdR],[1]!TabellaContenitori[Numero civico])</f>
        <v>71</v>
      </c>
      <c r="D319" s="1" t="str">
        <f t="shared" si="8"/>
        <v>PORTUENSE, 71, Roma</v>
      </c>
      <c r="E319" s="1" t="str">
        <f t="shared" si="9"/>
        <v>PORTUENSE</v>
      </c>
      <c r="F319" s="1" t="str">
        <f>_xlfn.XLOOKUP(B319,[1]!Tabella_N_Assi[Indirizzo],[1]!Tabella_N_Assi[Tipo Mezzo Preferenziale],"non trovato")</f>
        <v>non trovato</v>
      </c>
      <c r="G319">
        <f>_xlfn.XLOOKUP(A319,[2]Sheet1!$A:$A,[2]Sheet1!$G:$G,"non trovato")</f>
        <v>41.869229199999999</v>
      </c>
      <c r="H319">
        <f>_xlfn.XLOOKUP(A319,[2]Sheet1!$A:$A,[2]Sheet1!$H:$H,"non trovato")</f>
        <v>12.462877300000001</v>
      </c>
    </row>
    <row r="320" spans="1:8" x14ac:dyDescent="0.25">
      <c r="A320" s="1" t="str">
        <v>500000075884</v>
      </c>
      <c r="B320" s="1" t="str">
        <f>_xlfn.XLOOKUP(A320,[1]!TabellaContenitori[PdR],[1]!TabellaContenitori[AET])</f>
        <v>MAGLIANA</v>
      </c>
      <c r="C320" s="1" t="str">
        <f>_xlfn.XLOOKUP(A320,[1]!TabellaContenitori[PdR],[1]!TabellaContenitori[Numero civico])</f>
        <v>165</v>
      </c>
      <c r="D320" s="1" t="str">
        <f t="shared" si="8"/>
        <v>MAGLIANA, 165, Roma</v>
      </c>
      <c r="E320" s="1" t="str">
        <f t="shared" si="9"/>
        <v>MAGLIANA</v>
      </c>
      <c r="F320" s="1" t="str">
        <f>_xlfn.XLOOKUP(B320,[1]!Tabella_N_Assi[Indirizzo],[1]!Tabella_N_Assi[Tipo Mezzo Preferenziale],"non trovato")</f>
        <v>non trovato</v>
      </c>
      <c r="G320">
        <f>_xlfn.XLOOKUP(A320,[2]Sheet1!$A:$A,[2]Sheet1!$G:$G,"non trovato")</f>
        <v>41.821498800000001</v>
      </c>
      <c r="H320">
        <f>_xlfn.XLOOKUP(A320,[2]Sheet1!$A:$A,[2]Sheet1!$H:$H,"non trovato")</f>
        <v>12.394792799999999</v>
      </c>
    </row>
    <row r="321" spans="1:8" x14ac:dyDescent="0.25">
      <c r="A321" s="1" t="str">
        <v>500000075922</v>
      </c>
      <c r="B321" s="1" t="str">
        <f>_xlfn.XLOOKUP(A321,[1]!TabellaContenitori[PdR],[1]!TabellaContenitori[AET])</f>
        <v>MAGLIANA</v>
      </c>
      <c r="C321" s="1" t="str">
        <f>_xlfn.XLOOKUP(A321,[1]!TabellaContenitori[PdR],[1]!TabellaContenitori[Numero civico])</f>
        <v>279</v>
      </c>
      <c r="D321" s="1" t="str">
        <f t="shared" si="8"/>
        <v>MAGLIANA, 279, Roma</v>
      </c>
      <c r="E321" s="1" t="str">
        <f t="shared" si="9"/>
        <v>MAGLIANA</v>
      </c>
      <c r="F321" s="1" t="str">
        <f>_xlfn.XLOOKUP(B321,[1]!Tabella_N_Assi[Indirizzo],[1]!Tabella_N_Assi[Tipo Mezzo Preferenziale],"non trovato")</f>
        <v>non trovato</v>
      </c>
      <c r="G321">
        <f>_xlfn.XLOOKUP(A321,[2]Sheet1!$A:$A,[2]Sheet1!$G:$G,"non trovato")</f>
        <v>41.821498800000001</v>
      </c>
      <c r="H321">
        <f>_xlfn.XLOOKUP(A321,[2]Sheet1!$A:$A,[2]Sheet1!$H:$H,"non trovato")</f>
        <v>12.394792799999999</v>
      </c>
    </row>
    <row r="322" spans="1:8" x14ac:dyDescent="0.25">
      <c r="A322" s="1" t="str">
        <v>500000075869</v>
      </c>
      <c r="B322" s="1" t="str">
        <f>_xlfn.XLOOKUP(A322,[1]!TabellaContenitori[PdR],[1]!TabellaContenitori[AET])</f>
        <v>MAGLIANA</v>
      </c>
      <c r="C322" s="1" t="str">
        <f>_xlfn.XLOOKUP(A322,[1]!TabellaContenitori[PdR],[1]!TabellaContenitori[Numero civico])</f>
        <v>80</v>
      </c>
      <c r="D322" s="1" t="str">
        <f t="shared" si="8"/>
        <v>MAGLIANA, 80, Roma</v>
      </c>
      <c r="E322" s="1" t="str">
        <f t="shared" si="9"/>
        <v>MAGLIANA</v>
      </c>
      <c r="F322" s="1" t="str">
        <f>_xlfn.XLOOKUP(B322,[1]!Tabella_N_Assi[Indirizzo],[1]!Tabella_N_Assi[Tipo Mezzo Preferenziale],"non trovato")</f>
        <v>non trovato</v>
      </c>
      <c r="G322">
        <f>_xlfn.XLOOKUP(A322,[2]Sheet1!$A:$A,[2]Sheet1!$G:$G,"non trovato")</f>
        <v>41.821498800000001</v>
      </c>
      <c r="H322">
        <f>_xlfn.XLOOKUP(A322,[2]Sheet1!$A:$A,[2]Sheet1!$H:$H,"non trovato")</f>
        <v>12.394792799999999</v>
      </c>
    </row>
    <row r="323" spans="1:8" x14ac:dyDescent="0.25">
      <c r="A323" s="1" t="str">
        <v>500000123539</v>
      </c>
      <c r="B323" s="1" t="str">
        <f>_xlfn.XLOOKUP(A323,[1]!TabellaContenitori[PdR],[1]!TabellaContenitori[AET])</f>
        <v>TRULLO - MONTE CUCCO</v>
      </c>
      <c r="C323" s="1" t="str">
        <f>_xlfn.XLOOKUP(A323,[1]!TabellaContenitori[PdR],[1]!TabellaContenitori[Numero civico])</f>
        <v>38</v>
      </c>
      <c r="D323" s="1" t="str">
        <f t="shared" ref="D323:D386" si="10">CONCATENATE(B323,", ",C323,", Roma")</f>
        <v>TRULLO - MONTE CUCCO, 38, Roma</v>
      </c>
      <c r="E323" s="1" t="str">
        <f t="shared" ref="E323:E386" si="11">_xlfn.TEXTBEFORE(D323,",")</f>
        <v>TRULLO - MONTE CUCCO</v>
      </c>
      <c r="F323" s="1" t="str">
        <f>_xlfn.XLOOKUP(B323,[1]!Tabella_N_Assi[Indirizzo],[1]!Tabella_N_Assi[Tipo Mezzo Preferenziale],"non trovato")</f>
        <v>non trovato</v>
      </c>
      <c r="G323">
        <f>_xlfn.XLOOKUP(A323,[2]Sheet1!$A:$A,[2]Sheet1!$G:$G,"non trovato")</f>
        <v>41.843424800000001</v>
      </c>
      <c r="H323">
        <f>_xlfn.XLOOKUP(A323,[2]Sheet1!$A:$A,[2]Sheet1!$H:$H,"non trovato")</f>
        <v>12.4382193</v>
      </c>
    </row>
    <row r="324" spans="1:8" x14ac:dyDescent="0.25">
      <c r="A324" s="1" t="str">
        <v>500000063734</v>
      </c>
      <c r="B324" s="1" t="str">
        <f>_xlfn.XLOOKUP(A324,[1]!TabellaContenitori[PdR],[1]!TabellaContenitori[AET])</f>
        <v>TRULLO - MONTE CUCCO</v>
      </c>
      <c r="C324" s="1" t="str">
        <f>_xlfn.XLOOKUP(A324,[1]!TabellaContenitori[PdR],[1]!TabellaContenitori[Numero civico])</f>
        <v>56</v>
      </c>
      <c r="D324" s="1" t="str">
        <f t="shared" si="10"/>
        <v>TRULLO - MONTE CUCCO, 56, Roma</v>
      </c>
      <c r="E324" s="1" t="str">
        <f t="shared" si="11"/>
        <v>TRULLO - MONTE CUCCO</v>
      </c>
      <c r="F324" s="1" t="str">
        <f>_xlfn.XLOOKUP(B324,[1]!Tabella_N_Assi[Indirizzo],[1]!Tabella_N_Assi[Tipo Mezzo Preferenziale],"non trovato")</f>
        <v>non trovato</v>
      </c>
      <c r="G324">
        <f>_xlfn.XLOOKUP(A324,[2]Sheet1!$A:$A,[2]Sheet1!$G:$G,"non trovato")</f>
        <v>41.842198699999997</v>
      </c>
      <c r="H324">
        <f>_xlfn.XLOOKUP(A324,[2]Sheet1!$A:$A,[2]Sheet1!$H:$H,"non trovato")</f>
        <v>12.441648199999999</v>
      </c>
    </row>
    <row r="325" spans="1:8" x14ac:dyDescent="0.25">
      <c r="A325" s="1" t="str">
        <v>500000069435</v>
      </c>
      <c r="B325" s="1" t="str">
        <f>_xlfn.XLOOKUP(A325,[1]!TabellaContenitori[PdR],[1]!TabellaContenitori[AET])</f>
        <v>TRULLO - MONTE CUCCO</v>
      </c>
      <c r="C325" s="1" t="str">
        <f>_xlfn.XLOOKUP(A325,[1]!TabellaContenitori[PdR],[1]!TabellaContenitori[Numero civico])</f>
        <v>112</v>
      </c>
      <c r="D325" s="1" t="str">
        <f t="shared" si="10"/>
        <v>TRULLO - MONTE CUCCO, 112, Roma</v>
      </c>
      <c r="E325" s="1" t="str">
        <f t="shared" si="11"/>
        <v>TRULLO - MONTE CUCCO</v>
      </c>
      <c r="F325" s="1" t="str">
        <f>_xlfn.XLOOKUP(B325,[1]!Tabella_N_Assi[Indirizzo],[1]!Tabella_N_Assi[Tipo Mezzo Preferenziale],"non trovato")</f>
        <v>non trovato</v>
      </c>
      <c r="G325">
        <f>_xlfn.XLOOKUP(A325,[2]Sheet1!$A:$A,[2]Sheet1!$G:$G,"non trovato")</f>
        <v>41.850358300000003</v>
      </c>
      <c r="H325">
        <f>_xlfn.XLOOKUP(A325,[2]Sheet1!$A:$A,[2]Sheet1!$H:$H,"non trovato")</f>
        <v>12.4457421</v>
      </c>
    </row>
    <row r="326" spans="1:8" x14ac:dyDescent="0.25">
      <c r="A326" s="1" t="str">
        <v>500000204006</v>
      </c>
      <c r="B326" s="1" t="str">
        <f>_xlfn.XLOOKUP(A326,[1]!TabellaContenitori[PdR],[1]!TabellaContenitori[AET])</f>
        <v>CORVIALE</v>
      </c>
      <c r="C326" s="1" t="str">
        <f>_xlfn.XLOOKUP(A326,[1]!TabellaContenitori[PdR],[1]!TabellaContenitori[Numero civico])</f>
        <v>712</v>
      </c>
      <c r="D326" s="1" t="str">
        <f t="shared" si="10"/>
        <v>CORVIALE, 712, Roma</v>
      </c>
      <c r="E326" s="1" t="str">
        <f t="shared" si="11"/>
        <v>CORVIALE</v>
      </c>
      <c r="F326" s="1" t="str">
        <f>_xlfn.XLOOKUP(B326,[1]!Tabella_N_Assi[Indirizzo],[1]!Tabella_N_Assi[Tipo Mezzo Preferenziale],"non trovato")</f>
        <v>non trovato</v>
      </c>
      <c r="G326">
        <f>_xlfn.XLOOKUP(A326,[2]Sheet1!$A:$A,[2]Sheet1!$G:$G,"non trovato")</f>
        <v>41.870518400000002</v>
      </c>
      <c r="H326">
        <f>_xlfn.XLOOKUP(A326,[2]Sheet1!$A:$A,[2]Sheet1!$H:$H,"non trovato")</f>
        <v>12.4653882</v>
      </c>
    </row>
    <row r="327" spans="1:8" x14ac:dyDescent="0.25">
      <c r="A327" s="1" t="str">
        <v>500000125887</v>
      </c>
      <c r="B327" s="1" t="str">
        <f>_xlfn.XLOOKUP(A327,[1]!TabellaContenitori[PdR],[1]!TabellaContenitori[AET])</f>
        <v>CASETTA MATTEI</v>
      </c>
      <c r="C327" s="1" t="str">
        <f>_xlfn.XLOOKUP(A327,[1]!TabellaContenitori[PdR],[1]!TabellaContenitori[Numero civico])</f>
        <v>59</v>
      </c>
      <c r="D327" s="1" t="str">
        <f t="shared" si="10"/>
        <v>CASETTA MATTEI, 59, Roma</v>
      </c>
      <c r="E327" s="1" t="str">
        <f t="shared" si="11"/>
        <v>CASETTA MATTEI</v>
      </c>
      <c r="F327" s="1" t="str">
        <f>_xlfn.XLOOKUP(B327,[1]!Tabella_N_Assi[Indirizzo],[1]!Tabella_N_Assi[Tipo Mezzo Preferenziale],"non trovato")</f>
        <v>non trovato</v>
      </c>
      <c r="G327">
        <f>_xlfn.XLOOKUP(A327,[2]Sheet1!$A:$A,[2]Sheet1!$G:$G,"non trovato")</f>
        <v>41.857720999999998</v>
      </c>
      <c r="H327">
        <f>_xlfn.XLOOKUP(A327,[2]Sheet1!$A:$A,[2]Sheet1!$H:$H,"non trovato")</f>
        <v>12.417929900000001</v>
      </c>
    </row>
    <row r="328" spans="1:8" x14ac:dyDescent="0.25">
      <c r="A328" s="1" t="str">
        <v>500000083040</v>
      </c>
      <c r="B328" s="1" t="str">
        <f>_xlfn.XLOOKUP(A328,[1]!TabellaContenitori[PdR],[1]!TabellaContenitori[AET])</f>
        <v>TRULLO - MONTE DELLE CAPRE</v>
      </c>
      <c r="C328" s="1" t="str">
        <f>_xlfn.XLOOKUP(A328,[1]!TabellaContenitori[PdR],[1]!TabellaContenitori[Numero civico])</f>
        <v>42</v>
      </c>
      <c r="D328" s="1" t="str">
        <f t="shared" si="10"/>
        <v>TRULLO - MONTE DELLE CAPRE, 42, Roma</v>
      </c>
      <c r="E328" s="1" t="str">
        <f t="shared" si="11"/>
        <v>TRULLO - MONTE DELLE CAPRE</v>
      </c>
      <c r="F328" s="1" t="str">
        <f>_xlfn.XLOOKUP(B328,[1]!Tabella_N_Assi[Indirizzo],[1]!Tabella_N_Assi[Tipo Mezzo Preferenziale],"non trovato")</f>
        <v>non trovato</v>
      </c>
      <c r="G328">
        <f>_xlfn.XLOOKUP(A328,[2]Sheet1!$A:$A,[2]Sheet1!$G:$G,"non trovato")</f>
        <v>41.845074400000001</v>
      </c>
      <c r="H328">
        <f>_xlfn.XLOOKUP(A328,[2]Sheet1!$A:$A,[2]Sheet1!$H:$H,"non trovato")</f>
        <v>12.4281592</v>
      </c>
    </row>
    <row r="329" spans="1:8" x14ac:dyDescent="0.25">
      <c r="A329" s="1" t="str">
        <v>500000032912</v>
      </c>
      <c r="B329" s="1" t="str">
        <f>_xlfn.XLOOKUP(A329,[1]!TabellaContenitori[PdR],[1]!TabellaContenitori[AET])</f>
        <v>CASETTA MATTEI</v>
      </c>
      <c r="C329" s="1" t="str">
        <f>_xlfn.XLOOKUP(A329,[1]!TabellaContenitori[PdR],[1]!TabellaContenitori[Numero civico])</f>
        <v>153</v>
      </c>
      <c r="D329" s="1" t="str">
        <f t="shared" si="10"/>
        <v>CASETTA MATTEI, 153, Roma</v>
      </c>
      <c r="E329" s="1" t="str">
        <f t="shared" si="11"/>
        <v>CASETTA MATTEI</v>
      </c>
      <c r="F329" s="1" t="str">
        <f>_xlfn.XLOOKUP(B329,[1]!Tabella_N_Assi[Indirizzo],[1]!Tabella_N_Assi[Tipo Mezzo Preferenziale],"non trovato")</f>
        <v>non trovato</v>
      </c>
      <c r="G329">
        <f>_xlfn.XLOOKUP(A329,[2]Sheet1!$A:$A,[2]Sheet1!$G:$G,"non trovato")</f>
        <v>41.859758599999999</v>
      </c>
      <c r="H329">
        <f>_xlfn.XLOOKUP(A329,[2]Sheet1!$A:$A,[2]Sheet1!$H:$H,"non trovato")</f>
        <v>12.419367100000001</v>
      </c>
    </row>
    <row r="330" spans="1:8" x14ac:dyDescent="0.25">
      <c r="A330" s="1" t="str">
        <v>500000083033</v>
      </c>
      <c r="B330" s="1" t="str">
        <f>_xlfn.XLOOKUP(A330,[1]!TabellaContenitori[PdR],[1]!TabellaContenitori[AET])</f>
        <v>TRULLO - MONTE DELLE CAPRE</v>
      </c>
      <c r="C330" s="1" t="str">
        <f>_xlfn.XLOOKUP(A330,[1]!TabellaContenitori[PdR],[1]!TabellaContenitori[Numero civico])</f>
        <v>23</v>
      </c>
      <c r="D330" s="1" t="str">
        <f t="shared" si="10"/>
        <v>TRULLO - MONTE DELLE CAPRE, 23, Roma</v>
      </c>
      <c r="E330" s="1" t="str">
        <f t="shared" si="11"/>
        <v>TRULLO - MONTE DELLE CAPRE</v>
      </c>
      <c r="F330" s="1" t="str">
        <f>_xlfn.XLOOKUP(B330,[1]!Tabella_N_Assi[Indirizzo],[1]!Tabella_N_Assi[Tipo Mezzo Preferenziale],"non trovato")</f>
        <v>non trovato</v>
      </c>
      <c r="G330">
        <f>_xlfn.XLOOKUP(A330,[2]Sheet1!$A:$A,[2]Sheet1!$G:$G,"non trovato")</f>
        <v>41.845074400000001</v>
      </c>
      <c r="H330">
        <f>_xlfn.XLOOKUP(A330,[2]Sheet1!$A:$A,[2]Sheet1!$H:$H,"non trovato")</f>
        <v>12.4281592</v>
      </c>
    </row>
    <row r="331" spans="1:8" x14ac:dyDescent="0.25">
      <c r="A331" s="1" t="str">
        <v>500000150190</v>
      </c>
      <c r="B331" s="1" t="str">
        <f>_xlfn.XLOOKUP(A331,[1]!TabellaContenitori[PdR],[1]!TabellaContenitori[AET])</f>
        <v>CASETTA MATTEI</v>
      </c>
      <c r="C331" s="1" t="str">
        <f>_xlfn.XLOOKUP(A331,[1]!TabellaContenitori[PdR],[1]!TabellaContenitori[Numero civico])</f>
        <v>16</v>
      </c>
      <c r="D331" s="1" t="str">
        <f t="shared" si="10"/>
        <v>CASETTA MATTEI, 16, Roma</v>
      </c>
      <c r="E331" s="1" t="str">
        <f t="shared" si="11"/>
        <v>CASETTA MATTEI</v>
      </c>
      <c r="F331" s="1" t="str">
        <f>_xlfn.XLOOKUP(B331,[1]!Tabella_N_Assi[Indirizzo],[1]!Tabella_N_Assi[Tipo Mezzo Preferenziale],"non trovato")</f>
        <v>non trovato</v>
      </c>
      <c r="G331">
        <f>_xlfn.XLOOKUP(A331,[2]Sheet1!$A:$A,[2]Sheet1!$G:$G,"non trovato")</f>
        <v>41.856881700000002</v>
      </c>
      <c r="H331">
        <f>_xlfn.XLOOKUP(A331,[2]Sheet1!$A:$A,[2]Sheet1!$H:$H,"non trovato")</f>
        <v>12.4290529</v>
      </c>
    </row>
    <row r="332" spans="1:8" x14ac:dyDescent="0.25">
      <c r="A332" s="1" t="str">
        <v>500000098087</v>
      </c>
      <c r="B332" s="1" t="str">
        <f>_xlfn.XLOOKUP(A332,[1]!TabellaContenitori[PdR],[1]!TabellaContenitori[AET])</f>
        <v>PONTE GALERIA - PIANA DEL SOL</v>
      </c>
      <c r="C332" s="1" t="str">
        <f>_xlfn.XLOOKUP(A332,[1]!TabellaContenitori[PdR],[1]!TabellaContenitori[Numero civico])</f>
        <v>1680</v>
      </c>
      <c r="D332" s="1" t="str">
        <f t="shared" si="10"/>
        <v>PONTE GALERIA - PIANA DEL SOL, 1680, Roma</v>
      </c>
      <c r="E332" s="1" t="str">
        <f t="shared" si="11"/>
        <v>PONTE GALERIA - PIANA DEL SOL</v>
      </c>
      <c r="F332" s="1" t="str">
        <f>_xlfn.XLOOKUP(B332,[1]!Tabella_N_Assi[Indirizzo],[1]!Tabella_N_Assi[Tipo Mezzo Preferenziale],"non trovato")</f>
        <v>non trovato</v>
      </c>
      <c r="G332">
        <f>_xlfn.XLOOKUP(A332,[2]Sheet1!$A:$A,[2]Sheet1!$G:$G,"non trovato")</f>
        <v>41.870518400000002</v>
      </c>
      <c r="H332">
        <f>_xlfn.XLOOKUP(A332,[2]Sheet1!$A:$A,[2]Sheet1!$H:$H,"non trovato")</f>
        <v>12.4653882</v>
      </c>
    </row>
    <row r="333" spans="1:8" x14ac:dyDescent="0.25">
      <c r="A333" s="1" t="str">
        <v>500000124510</v>
      </c>
      <c r="B333" s="1" t="str">
        <f>_xlfn.XLOOKUP(A333,[1]!TabellaContenitori[PdR],[1]!TabellaContenitori[AET])</f>
        <v>TRULLO - MONTE DELLE CAPRE</v>
      </c>
      <c r="C333" s="1" t="str">
        <f>_xlfn.XLOOKUP(A333,[1]!TabellaContenitori[PdR],[1]!TabellaContenitori[Numero civico])</f>
        <v>30</v>
      </c>
      <c r="D333" s="1" t="str">
        <f t="shared" si="10"/>
        <v>TRULLO - MONTE DELLE CAPRE, 30, Roma</v>
      </c>
      <c r="E333" s="1" t="str">
        <f t="shared" si="11"/>
        <v>TRULLO - MONTE DELLE CAPRE</v>
      </c>
      <c r="F333" s="1" t="str">
        <f>_xlfn.XLOOKUP(B333,[1]!Tabella_N_Assi[Indirizzo],[1]!Tabella_N_Assi[Tipo Mezzo Preferenziale],"non trovato")</f>
        <v>non trovato</v>
      </c>
      <c r="G333">
        <f>_xlfn.XLOOKUP(A333,[2]Sheet1!$A:$A,[2]Sheet1!$G:$G,"non trovato")</f>
        <v>41.836390000000002</v>
      </c>
      <c r="H333">
        <f>_xlfn.XLOOKUP(A333,[2]Sheet1!$A:$A,[2]Sheet1!$H:$H,"non trovato")</f>
        <v>12.421317</v>
      </c>
    </row>
    <row r="334" spans="1:8" x14ac:dyDescent="0.25">
      <c r="A334" s="1" t="str">
        <v>500000205663</v>
      </c>
      <c r="B334" s="1" t="str">
        <f>_xlfn.XLOOKUP(A334,[1]!TabellaContenitori[PdR],[1]!TabellaContenitori[AET])</f>
        <v>FRATTINI</v>
      </c>
      <c r="C334" s="1" t="str">
        <f>_xlfn.XLOOKUP(A334,[1]!TabellaContenitori[PdR],[1]!TabellaContenitori[Numero civico])</f>
        <v>32</v>
      </c>
      <c r="D334" s="1" t="str">
        <f t="shared" si="10"/>
        <v>FRATTINI, 32, Roma</v>
      </c>
      <c r="E334" s="1" t="str">
        <f t="shared" si="11"/>
        <v>FRATTINI</v>
      </c>
      <c r="F334" s="1" t="str">
        <f>_xlfn.XLOOKUP(B334,[1]!Tabella_N_Assi[Indirizzo],[1]!Tabella_N_Assi[Tipo Mezzo Preferenziale],"non trovato")</f>
        <v>non trovato</v>
      </c>
      <c r="G334">
        <f>_xlfn.XLOOKUP(A334,[2]Sheet1!$A:$A,[2]Sheet1!$G:$G,"non trovato")</f>
        <v>41.8545655</v>
      </c>
      <c r="H334">
        <f>_xlfn.XLOOKUP(A334,[2]Sheet1!$A:$A,[2]Sheet1!$H:$H,"non trovato")</f>
        <v>12.452363</v>
      </c>
    </row>
    <row r="335" spans="1:8" x14ac:dyDescent="0.25">
      <c r="A335" s="1" t="str">
        <v>500000009858</v>
      </c>
      <c r="B335" s="1" t="str">
        <f>_xlfn.XLOOKUP(A335,[1]!TabellaContenitori[PdR],[1]!TabellaContenitori[AET])</f>
        <v>CASETTA MATTEI</v>
      </c>
      <c r="C335" s="1" t="str">
        <f>_xlfn.XLOOKUP(A335,[1]!TabellaContenitori[PdR],[1]!TabellaContenitori[Numero civico])</f>
        <v>58</v>
      </c>
      <c r="D335" s="1" t="str">
        <f t="shared" si="10"/>
        <v>CASETTA MATTEI, 58, Roma</v>
      </c>
      <c r="E335" s="1" t="str">
        <f t="shared" si="11"/>
        <v>CASETTA MATTEI</v>
      </c>
      <c r="F335" s="1" t="str">
        <f>_xlfn.XLOOKUP(B335,[1]!Tabella_N_Assi[Indirizzo],[1]!Tabella_N_Assi[Tipo Mezzo Preferenziale],"non trovato")</f>
        <v>non trovato</v>
      </c>
      <c r="G335">
        <f>_xlfn.XLOOKUP(A335,[2]Sheet1!$A:$A,[2]Sheet1!$G:$G,"non trovato")</f>
        <v>41.852748300000002</v>
      </c>
      <c r="H335">
        <f>_xlfn.XLOOKUP(A335,[2]Sheet1!$A:$A,[2]Sheet1!$H:$H,"non trovato")</f>
        <v>12.425168299999999</v>
      </c>
    </row>
    <row r="336" spans="1:8" x14ac:dyDescent="0.25">
      <c r="A336" s="1" t="str">
        <v>500000203597</v>
      </c>
      <c r="B336" s="1" t="str">
        <f>_xlfn.XLOOKUP(A336,[1]!TabellaContenitori[PdR],[1]!TabellaContenitori[AET])</f>
        <v>CASETTA MATTEI</v>
      </c>
      <c r="C336" s="1" t="str">
        <f>_xlfn.XLOOKUP(A336,[1]!TabellaContenitori[PdR],[1]!TabellaContenitori[Numero civico])</f>
        <v>71</v>
      </c>
      <c r="D336" s="1" t="str">
        <f t="shared" si="10"/>
        <v>CASETTA MATTEI, 71, Roma</v>
      </c>
      <c r="E336" s="1" t="str">
        <f t="shared" si="11"/>
        <v>CASETTA MATTEI</v>
      </c>
      <c r="F336" s="1" t="str">
        <f>_xlfn.XLOOKUP(B336,[1]!Tabella_N_Assi[Indirizzo],[1]!Tabella_N_Assi[Tipo Mezzo Preferenziale],"non trovato")</f>
        <v>non trovato</v>
      </c>
      <c r="G336">
        <f>_xlfn.XLOOKUP(A336,[2]Sheet1!$A:$A,[2]Sheet1!$G:$G,"non trovato")</f>
        <v>41.859758599999999</v>
      </c>
      <c r="H336">
        <f>_xlfn.XLOOKUP(A336,[2]Sheet1!$A:$A,[2]Sheet1!$H:$H,"non trovato")</f>
        <v>12.419367100000001</v>
      </c>
    </row>
    <row r="337" spans="1:8" x14ac:dyDescent="0.25">
      <c r="A337" s="1" t="str">
        <v>500000032915</v>
      </c>
      <c r="B337" s="1" t="str">
        <f>_xlfn.XLOOKUP(A337,[1]!TabellaContenitori[PdR],[1]!TabellaContenitori[AET])</f>
        <v>CASETTA MATTEI</v>
      </c>
      <c r="C337" s="1" t="str">
        <f>_xlfn.XLOOKUP(A337,[1]!TabellaContenitori[PdR],[1]!TabellaContenitori[Numero civico])</f>
        <v>197</v>
      </c>
      <c r="D337" s="1" t="str">
        <f t="shared" si="10"/>
        <v>CASETTA MATTEI, 197, Roma</v>
      </c>
      <c r="E337" s="1" t="str">
        <f t="shared" si="11"/>
        <v>CASETTA MATTEI</v>
      </c>
      <c r="F337" s="1" t="str">
        <f>_xlfn.XLOOKUP(B337,[1]!Tabella_N_Assi[Indirizzo],[1]!Tabella_N_Assi[Tipo Mezzo Preferenziale],"non trovato")</f>
        <v>non trovato</v>
      </c>
      <c r="G337">
        <f>_xlfn.XLOOKUP(A337,[2]Sheet1!$A:$A,[2]Sheet1!$G:$G,"non trovato")</f>
        <v>41.859758599999999</v>
      </c>
      <c r="H337">
        <f>_xlfn.XLOOKUP(A337,[2]Sheet1!$A:$A,[2]Sheet1!$H:$H,"non trovato")</f>
        <v>12.419367100000001</v>
      </c>
    </row>
    <row r="338" spans="1:8" x14ac:dyDescent="0.25">
      <c r="A338" s="1" t="str">
        <v>500000114549</v>
      </c>
      <c r="B338" s="1" t="str">
        <f>_xlfn.XLOOKUP(A338,[1]!TabellaContenitori[PdR],[1]!TabellaContenitori[AET])</f>
        <v>TRULLO - MONTE DELLE CAPRE</v>
      </c>
      <c r="C338" s="1" t="str">
        <f>_xlfn.XLOOKUP(A338,[1]!TabellaContenitori[PdR],[1]!TabellaContenitori[Numero civico])</f>
        <v>11</v>
      </c>
      <c r="D338" s="1" t="str">
        <f t="shared" si="10"/>
        <v>TRULLO - MONTE DELLE CAPRE, 11, Roma</v>
      </c>
      <c r="E338" s="1" t="str">
        <f t="shared" si="11"/>
        <v>TRULLO - MONTE DELLE CAPRE</v>
      </c>
      <c r="F338" s="1" t="str">
        <f>_xlfn.XLOOKUP(B338,[1]!Tabella_N_Assi[Indirizzo],[1]!Tabella_N_Assi[Tipo Mezzo Preferenziale],"non trovato")</f>
        <v>non trovato</v>
      </c>
      <c r="G338">
        <f>_xlfn.XLOOKUP(A338,[2]Sheet1!$A:$A,[2]Sheet1!$G:$G,"non trovato")</f>
        <v>41.834428600000003</v>
      </c>
      <c r="H338">
        <f>_xlfn.XLOOKUP(A338,[2]Sheet1!$A:$A,[2]Sheet1!$H:$H,"non trovato")</f>
        <v>12.433839799999999</v>
      </c>
    </row>
    <row r="339" spans="1:8" x14ac:dyDescent="0.25">
      <c r="A339" s="1" t="str">
        <v>500000120315</v>
      </c>
      <c r="B339" s="1" t="str">
        <f>_xlfn.XLOOKUP(A339,[1]!TabellaContenitori[PdR],[1]!TabellaContenitori[AET])</f>
        <v>TRULLO - MONTE DELLE CAPRE</v>
      </c>
      <c r="C339" s="1" t="str">
        <f>_xlfn.XLOOKUP(A339,[1]!TabellaContenitori[PdR],[1]!TabellaContenitori[Numero civico])</f>
        <v>100</v>
      </c>
      <c r="D339" s="1" t="str">
        <f t="shared" si="10"/>
        <v>TRULLO - MONTE DELLE CAPRE, 100, Roma</v>
      </c>
      <c r="E339" s="1" t="str">
        <f t="shared" si="11"/>
        <v>TRULLO - MONTE DELLE CAPRE</v>
      </c>
      <c r="F339" s="1" t="str">
        <f>_xlfn.XLOOKUP(B339,[1]!Tabella_N_Assi[Indirizzo],[1]!Tabella_N_Assi[Tipo Mezzo Preferenziale],"non trovato")</f>
        <v>non trovato</v>
      </c>
      <c r="G339">
        <f>_xlfn.XLOOKUP(A339,[2]Sheet1!$A:$A,[2]Sheet1!$G:$G,"non trovato")</f>
        <v>41.8431517</v>
      </c>
      <c r="H339">
        <f>_xlfn.XLOOKUP(A339,[2]Sheet1!$A:$A,[2]Sheet1!$H:$H,"non trovato")</f>
        <v>12.436747499999999</v>
      </c>
    </row>
    <row r="340" spans="1:8" x14ac:dyDescent="0.25">
      <c r="A340" s="1" t="str">
        <v>500000032905</v>
      </c>
      <c r="B340" s="1" t="str">
        <f>_xlfn.XLOOKUP(A340,[1]!TabellaContenitori[PdR],[1]!TabellaContenitori[AET])</f>
        <v>CASETTA MATTEI</v>
      </c>
      <c r="C340" s="1" t="str">
        <f>_xlfn.XLOOKUP(A340,[1]!TabellaContenitori[PdR],[1]!TabellaContenitori[Numero civico])</f>
        <v>117</v>
      </c>
      <c r="D340" s="1" t="str">
        <f t="shared" si="10"/>
        <v>CASETTA MATTEI, 117, Roma</v>
      </c>
      <c r="E340" s="1" t="str">
        <f t="shared" si="11"/>
        <v>CASETTA MATTEI</v>
      </c>
      <c r="F340" s="1" t="str">
        <f>_xlfn.XLOOKUP(B340,[1]!Tabella_N_Assi[Indirizzo],[1]!Tabella_N_Assi[Tipo Mezzo Preferenziale],"non trovato")</f>
        <v>non trovato</v>
      </c>
      <c r="G340">
        <f>_xlfn.XLOOKUP(A340,[2]Sheet1!$A:$A,[2]Sheet1!$G:$G,"non trovato")</f>
        <v>41.859758599999999</v>
      </c>
      <c r="H340">
        <f>_xlfn.XLOOKUP(A340,[2]Sheet1!$A:$A,[2]Sheet1!$H:$H,"non trovato")</f>
        <v>12.419367100000001</v>
      </c>
    </row>
    <row r="341" spans="1:8" x14ac:dyDescent="0.25">
      <c r="A341" s="1" t="str">
        <v>500000153066</v>
      </c>
      <c r="B341" s="1" t="str">
        <f>_xlfn.XLOOKUP(A341,[1]!TabellaContenitori[PdR],[1]!TabellaContenitori[AET])</f>
        <v>TRULLO - MONTE DELLE CAPRE</v>
      </c>
      <c r="C341" s="1" t="str">
        <f>_xlfn.XLOOKUP(A341,[1]!TabellaContenitori[PdR],[1]!TabellaContenitori[Numero civico])</f>
        <v>80</v>
      </c>
      <c r="D341" s="1" t="str">
        <f t="shared" si="10"/>
        <v>TRULLO - MONTE DELLE CAPRE, 80, Roma</v>
      </c>
      <c r="E341" s="1" t="str">
        <f t="shared" si="11"/>
        <v>TRULLO - MONTE DELLE CAPRE</v>
      </c>
      <c r="F341" s="1" t="str">
        <f>_xlfn.XLOOKUP(B341,[1]!Tabella_N_Assi[Indirizzo],[1]!Tabella_N_Assi[Tipo Mezzo Preferenziale],"non trovato")</f>
        <v>non trovato</v>
      </c>
      <c r="G341">
        <f>_xlfn.XLOOKUP(A341,[2]Sheet1!$A:$A,[2]Sheet1!$G:$G,"non trovato")</f>
        <v>41.837925400000003</v>
      </c>
      <c r="H341">
        <f>_xlfn.XLOOKUP(A341,[2]Sheet1!$A:$A,[2]Sheet1!$H:$H,"non trovato")</f>
        <v>12.4319752</v>
      </c>
    </row>
    <row r="342" spans="1:8" x14ac:dyDescent="0.25">
      <c r="A342" s="1" t="str">
        <v>500000097872</v>
      </c>
      <c r="B342" s="1" t="str">
        <f>_xlfn.XLOOKUP(A342,[1]!TabellaContenitori[PdR],[1]!TabellaContenitori[AET])</f>
        <v>CORVIALE</v>
      </c>
      <c r="C342" s="1" t="str">
        <f>_xlfn.XLOOKUP(A342,[1]!TabellaContenitori[PdR],[1]!TabellaContenitori[Numero civico])</f>
        <v>756</v>
      </c>
      <c r="D342" s="1" t="str">
        <f t="shared" si="10"/>
        <v>CORVIALE, 756, Roma</v>
      </c>
      <c r="E342" s="1" t="str">
        <f t="shared" si="11"/>
        <v>CORVIALE</v>
      </c>
      <c r="F342" s="1" t="str">
        <f>_xlfn.XLOOKUP(B342,[1]!Tabella_N_Assi[Indirizzo],[1]!Tabella_N_Assi[Tipo Mezzo Preferenziale],"non trovato")</f>
        <v>non trovato</v>
      </c>
      <c r="G342">
        <f>_xlfn.XLOOKUP(A342,[2]Sheet1!$A:$A,[2]Sheet1!$G:$G,"non trovato")</f>
        <v>41.870518400000002</v>
      </c>
      <c r="H342">
        <f>_xlfn.XLOOKUP(A342,[2]Sheet1!$A:$A,[2]Sheet1!$H:$H,"non trovato")</f>
        <v>12.4653882</v>
      </c>
    </row>
    <row r="343" spans="1:8" x14ac:dyDescent="0.25">
      <c r="A343" s="1" t="str">
        <v>500000096249</v>
      </c>
      <c r="B343" s="1" t="str">
        <f>_xlfn.XLOOKUP(A343,[1]!TabellaContenitori[PdR],[1]!TabellaContenitori[AET])</f>
        <v>CORVIALE</v>
      </c>
      <c r="C343" s="1" t="str">
        <f>_xlfn.XLOOKUP(A343,[1]!TabellaContenitori[PdR],[1]!TabellaContenitori[Numero civico])</f>
        <v>5</v>
      </c>
      <c r="D343" s="1" t="str">
        <f t="shared" si="10"/>
        <v>CORVIALE, 5, Roma</v>
      </c>
      <c r="E343" s="1" t="str">
        <f t="shared" si="11"/>
        <v>CORVIALE</v>
      </c>
      <c r="F343" s="1" t="str">
        <f>_xlfn.XLOOKUP(B343,[1]!Tabella_N_Assi[Indirizzo],[1]!Tabella_N_Assi[Tipo Mezzo Preferenziale],"non trovato")</f>
        <v>non trovato</v>
      </c>
      <c r="G343">
        <f>_xlfn.XLOOKUP(A343,[2]Sheet1!$A:$A,[2]Sheet1!$G:$G,"non trovato")</f>
        <v>41.852738500000001</v>
      </c>
      <c r="H343">
        <f>_xlfn.XLOOKUP(A343,[2]Sheet1!$A:$A,[2]Sheet1!$H:$H,"non trovato")</f>
        <v>12.4131214</v>
      </c>
    </row>
    <row r="344" spans="1:8" x14ac:dyDescent="0.25">
      <c r="A344" s="1" t="str">
        <v>500000096248</v>
      </c>
      <c r="B344" s="1" t="str">
        <f>_xlfn.XLOOKUP(A344,[1]!TabellaContenitori[PdR],[1]!TabellaContenitori[AET])</f>
        <v>CORVIALE</v>
      </c>
      <c r="C344" s="1" t="str">
        <f>_xlfn.XLOOKUP(A344,[1]!TabellaContenitori[PdR],[1]!TabellaContenitori[Numero civico])</f>
        <v>5</v>
      </c>
      <c r="D344" s="1" t="str">
        <f t="shared" si="10"/>
        <v>CORVIALE, 5, Roma</v>
      </c>
      <c r="E344" s="1" t="str">
        <f t="shared" si="11"/>
        <v>CORVIALE</v>
      </c>
      <c r="F344" s="1" t="str">
        <f>_xlfn.XLOOKUP(B344,[1]!Tabella_N_Assi[Indirizzo],[1]!Tabella_N_Assi[Tipo Mezzo Preferenziale],"non trovato")</f>
        <v>non trovato</v>
      </c>
      <c r="G344">
        <f>_xlfn.XLOOKUP(A344,[2]Sheet1!$A:$A,[2]Sheet1!$G:$G,"non trovato")</f>
        <v>41.852738500000001</v>
      </c>
      <c r="H344">
        <f>_xlfn.XLOOKUP(A344,[2]Sheet1!$A:$A,[2]Sheet1!$H:$H,"non trovato")</f>
        <v>12.4131214</v>
      </c>
    </row>
    <row r="345" spans="1:8" x14ac:dyDescent="0.25">
      <c r="A345" s="1" t="str">
        <v>500000220919</v>
      </c>
      <c r="B345" s="1" t="str">
        <f>_xlfn.XLOOKUP(A345,[1]!TabellaContenitori[PdR],[1]!TabellaContenitori[AET])</f>
        <v>FRATTINI</v>
      </c>
      <c r="C345" s="1" t="str">
        <f>_xlfn.XLOOKUP(A345,[1]!TabellaContenitori[PdR],[1]!TabellaContenitori[Numero civico])</f>
        <v>162</v>
      </c>
      <c r="D345" s="1" t="str">
        <f t="shared" si="10"/>
        <v>FRATTINI, 162, Roma</v>
      </c>
      <c r="E345" s="1" t="str">
        <f t="shared" si="11"/>
        <v>FRATTINI</v>
      </c>
      <c r="F345" s="1" t="str">
        <f>_xlfn.XLOOKUP(B345,[1]!Tabella_N_Assi[Indirizzo],[1]!Tabella_N_Assi[Tipo Mezzo Preferenziale],"non trovato")</f>
        <v>non trovato</v>
      </c>
      <c r="G345">
        <f>_xlfn.XLOOKUP(A345,[2]Sheet1!$A:$A,[2]Sheet1!$G:$G,"non trovato")</f>
        <v>41.853628999999998</v>
      </c>
      <c r="H345">
        <f>_xlfn.XLOOKUP(A345,[2]Sheet1!$A:$A,[2]Sheet1!$H:$H,"non trovato")</f>
        <v>12.4476464</v>
      </c>
    </row>
    <row r="346" spans="1:8" x14ac:dyDescent="0.25">
      <c r="A346" s="1" t="str">
        <v>500000173021</v>
      </c>
      <c r="B346" s="1" t="str">
        <f>_xlfn.XLOOKUP(A346,[1]!TabellaContenitori[PdR],[1]!TabellaContenitori[AET])</f>
        <v>PONTE GALERIA - PIANA DEL SOL</v>
      </c>
      <c r="C346" s="1" t="str">
        <f>_xlfn.XLOOKUP(A346,[1]!TabellaContenitori[PdR],[1]!TabellaContenitori[Numero civico])</f>
        <v>42</v>
      </c>
      <c r="D346" s="1" t="str">
        <f t="shared" si="10"/>
        <v>PONTE GALERIA - PIANA DEL SOL, 42, Roma</v>
      </c>
      <c r="E346" s="1" t="str">
        <f t="shared" si="11"/>
        <v>PONTE GALERIA - PIANA DEL SOL</v>
      </c>
      <c r="F346" s="1" t="str">
        <f>_xlfn.XLOOKUP(B346,[1]!Tabella_N_Assi[Indirizzo],[1]!Tabella_N_Assi[Tipo Mezzo Preferenziale],"non trovato")</f>
        <v>non trovato</v>
      </c>
      <c r="G346">
        <f>_xlfn.XLOOKUP(A346,[2]Sheet1!$A:$A,[2]Sheet1!$G:$G,"non trovato")</f>
        <v>41.828956900000001</v>
      </c>
      <c r="H346">
        <f>_xlfn.XLOOKUP(A346,[2]Sheet1!$A:$A,[2]Sheet1!$H:$H,"non trovato")</f>
        <v>12.3935312</v>
      </c>
    </row>
    <row r="347" spans="1:8" x14ac:dyDescent="0.25">
      <c r="A347" s="1" t="str">
        <v>500000173021</v>
      </c>
      <c r="B347" s="1" t="str">
        <f>_xlfn.XLOOKUP(A347,[1]!TabellaContenitori[PdR],[1]!TabellaContenitori[AET])</f>
        <v>PONTE GALERIA - PIANA DEL SOL</v>
      </c>
      <c r="C347" s="1" t="str">
        <f>_xlfn.XLOOKUP(A347,[1]!TabellaContenitori[PdR],[1]!TabellaContenitori[Numero civico])</f>
        <v>42</v>
      </c>
      <c r="D347" s="1" t="str">
        <f t="shared" si="10"/>
        <v>PONTE GALERIA - PIANA DEL SOL, 42, Roma</v>
      </c>
      <c r="E347" s="1" t="str">
        <f t="shared" si="11"/>
        <v>PONTE GALERIA - PIANA DEL SOL</v>
      </c>
      <c r="F347" s="1" t="str">
        <f>_xlfn.XLOOKUP(B347,[1]!Tabella_N_Assi[Indirizzo],[1]!Tabella_N_Assi[Tipo Mezzo Preferenziale],"non trovato")</f>
        <v>non trovato</v>
      </c>
      <c r="G347">
        <f>_xlfn.XLOOKUP(A347,[2]Sheet1!$A:$A,[2]Sheet1!$G:$G,"non trovato")</f>
        <v>41.828956900000001</v>
      </c>
      <c r="H347">
        <f>_xlfn.XLOOKUP(A347,[2]Sheet1!$A:$A,[2]Sheet1!$H:$H,"non trovato")</f>
        <v>12.3935312</v>
      </c>
    </row>
    <row r="348" spans="1:8" x14ac:dyDescent="0.25">
      <c r="A348" s="1" t="str">
        <v>500000261107</v>
      </c>
      <c r="B348" s="1" t="str">
        <f>_xlfn.XLOOKUP(A348,[1]!TabellaContenitori[PdR],[1]!TabellaContenitori[AET])</f>
        <v>CASETTA MATTEI</v>
      </c>
      <c r="C348" s="1" t="str">
        <f>_xlfn.XLOOKUP(A348,[1]!TabellaContenitori[PdR],[1]!TabellaContenitori[Numero civico])</f>
        <v>7</v>
      </c>
      <c r="D348" s="1" t="str">
        <f t="shared" si="10"/>
        <v>CASETTA MATTEI, 7, Roma</v>
      </c>
      <c r="E348" s="1" t="str">
        <f t="shared" si="11"/>
        <v>CASETTA MATTEI</v>
      </c>
      <c r="F348" s="1" t="str">
        <f>_xlfn.XLOOKUP(B348,[1]!Tabella_N_Assi[Indirizzo],[1]!Tabella_N_Assi[Tipo Mezzo Preferenziale],"non trovato")</f>
        <v>non trovato</v>
      </c>
      <c r="G348">
        <f>_xlfn.XLOOKUP(A348,[2]Sheet1!$A:$A,[2]Sheet1!$G:$G,"non trovato")</f>
        <v>41.856881700000002</v>
      </c>
      <c r="H348">
        <f>_xlfn.XLOOKUP(A348,[2]Sheet1!$A:$A,[2]Sheet1!$H:$H,"non trovato")</f>
        <v>12.4290529</v>
      </c>
    </row>
    <row r="349" spans="1:8" x14ac:dyDescent="0.25">
      <c r="A349" s="1" t="str">
        <v>500000061450</v>
      </c>
      <c r="B349" s="1" t="str">
        <f>_xlfn.XLOOKUP(A349,[1]!TabellaContenitori[PdR],[1]!TabellaContenitori[AET])</f>
        <v>PORTUENSE</v>
      </c>
      <c r="C349" s="1" t="str">
        <f>_xlfn.XLOOKUP(A349,[1]!TabellaContenitori[PdR],[1]!TabellaContenitori[Numero civico])</f>
        <v>18</v>
      </c>
      <c r="D349" s="1" t="str">
        <f t="shared" si="10"/>
        <v>PORTUENSE, 18, Roma</v>
      </c>
      <c r="E349" s="1" t="str">
        <f t="shared" si="11"/>
        <v>PORTUENSE</v>
      </c>
      <c r="F349" s="1" t="str">
        <f>_xlfn.XLOOKUP(B349,[1]!Tabella_N_Assi[Indirizzo],[1]!Tabella_N_Assi[Tipo Mezzo Preferenziale],"non trovato")</f>
        <v>non trovato</v>
      </c>
      <c r="G349">
        <f>_xlfn.XLOOKUP(A349,[2]Sheet1!$A:$A,[2]Sheet1!$G:$G,"non trovato")</f>
        <v>41.857109999999999</v>
      </c>
      <c r="H349">
        <f>_xlfn.XLOOKUP(A349,[2]Sheet1!$A:$A,[2]Sheet1!$H:$H,"non trovato")</f>
        <v>12.4542901</v>
      </c>
    </row>
    <row r="350" spans="1:8" x14ac:dyDescent="0.25">
      <c r="A350" s="1" t="str">
        <v>500000068598</v>
      </c>
      <c r="B350" s="1" t="str">
        <f>_xlfn.XLOOKUP(A350,[1]!TabellaContenitori[PdR],[1]!TabellaContenitori[AET])</f>
        <v>MARCONI</v>
      </c>
      <c r="C350" s="1" t="str">
        <f>_xlfn.XLOOKUP(A350,[1]!TabellaContenitori[PdR],[1]!TabellaContenitori[Numero civico])</f>
        <v>155</v>
      </c>
      <c r="D350" s="1" t="str">
        <f t="shared" si="10"/>
        <v>MARCONI, 155, Roma</v>
      </c>
      <c r="E350" s="1" t="str">
        <f t="shared" si="11"/>
        <v>MARCONI</v>
      </c>
      <c r="F350" s="1" t="str">
        <f>_xlfn.XLOOKUP(B350,[1]!Tabella_N_Assi[Indirizzo],[1]!Tabella_N_Assi[Tipo Mezzo Preferenziale],"non trovato")</f>
        <v>non trovato</v>
      </c>
      <c r="G350">
        <f>_xlfn.XLOOKUP(A350,[2]Sheet1!$A:$A,[2]Sheet1!$G:$G,"non trovato")</f>
        <v>41.8661624</v>
      </c>
      <c r="H350">
        <f>_xlfn.XLOOKUP(A350,[2]Sheet1!$A:$A,[2]Sheet1!$H:$H,"non trovato")</f>
        <v>12.468978999999999</v>
      </c>
    </row>
    <row r="351" spans="1:8" x14ac:dyDescent="0.25">
      <c r="A351" s="1" t="str">
        <v>500000011664</v>
      </c>
      <c r="B351" s="1" t="str">
        <f>_xlfn.XLOOKUP(A351,[1]!TabellaContenitori[PdR],[1]!TabellaContenitori[AET])</f>
        <v>MARCONI</v>
      </c>
      <c r="C351" s="1" t="str">
        <f>_xlfn.XLOOKUP(A351,[1]!TabellaContenitori[PdR],[1]!TabellaContenitori[Numero civico])</f>
        <v>56</v>
      </c>
      <c r="D351" s="1" t="str">
        <f t="shared" si="10"/>
        <v>MARCONI, 56, Roma</v>
      </c>
      <c r="E351" s="1" t="str">
        <f t="shared" si="11"/>
        <v>MARCONI</v>
      </c>
      <c r="F351" s="1" t="str">
        <f>_xlfn.XLOOKUP(B351,[1]!Tabella_N_Assi[Indirizzo],[1]!Tabella_N_Assi[Tipo Mezzo Preferenziale],"non trovato")</f>
        <v>non trovato</v>
      </c>
      <c r="G351">
        <f>_xlfn.XLOOKUP(A351,[2]Sheet1!$A:$A,[2]Sheet1!$G:$G,"non trovato")</f>
        <v>41.861918500000002</v>
      </c>
      <c r="H351">
        <f>_xlfn.XLOOKUP(A351,[2]Sheet1!$A:$A,[2]Sheet1!$H:$H,"non trovato")</f>
        <v>12.465842200000001</v>
      </c>
    </row>
    <row r="352" spans="1:8" x14ac:dyDescent="0.25">
      <c r="A352" s="1" t="str">
        <v>500000043855</v>
      </c>
      <c r="B352" s="1" t="str">
        <f>_xlfn.XLOOKUP(A352,[1]!TabellaContenitori[PdR],[1]!TabellaContenitori[AET])</f>
        <v>MARCONI</v>
      </c>
      <c r="C352" s="1" t="str">
        <f>_xlfn.XLOOKUP(A352,[1]!TabellaContenitori[PdR],[1]!TabellaContenitori[Numero civico])</f>
        <v>9</v>
      </c>
      <c r="D352" s="1" t="str">
        <f t="shared" si="10"/>
        <v>MARCONI, 9, Roma</v>
      </c>
      <c r="E352" s="1" t="str">
        <f t="shared" si="11"/>
        <v>MARCONI</v>
      </c>
      <c r="F352" s="1" t="str">
        <f>_xlfn.XLOOKUP(B352,[1]!Tabella_N_Assi[Indirizzo],[1]!Tabella_N_Assi[Tipo Mezzo Preferenziale],"non trovato")</f>
        <v>non trovato</v>
      </c>
      <c r="G352">
        <f>_xlfn.XLOOKUP(A352,[2]Sheet1!$A:$A,[2]Sheet1!$G:$G,"non trovato")</f>
        <v>41.862655799999999</v>
      </c>
      <c r="H352">
        <f>_xlfn.XLOOKUP(A352,[2]Sheet1!$A:$A,[2]Sheet1!$H:$H,"non trovato")</f>
        <v>12.467973499999999</v>
      </c>
    </row>
    <row r="353" spans="1:8" x14ac:dyDescent="0.25">
      <c r="A353" s="1" t="str">
        <v>500000094007</v>
      </c>
      <c r="B353" s="1" t="str">
        <f>_xlfn.XLOOKUP(A353,[1]!TabellaContenitori[PdR],[1]!TabellaContenitori[AET])</f>
        <v>FERMI</v>
      </c>
      <c r="C353" s="1" t="str">
        <f>_xlfn.XLOOKUP(A353,[1]!TabellaContenitori[PdR],[1]!TabellaContenitori[Numero civico])</f>
        <v>99</v>
      </c>
      <c r="D353" s="1" t="str">
        <f t="shared" si="10"/>
        <v>FERMI, 99, Roma</v>
      </c>
      <c r="E353" s="1" t="str">
        <f t="shared" si="11"/>
        <v>FERMI</v>
      </c>
      <c r="F353" s="1" t="str">
        <f>_xlfn.XLOOKUP(B353,[1]!Tabella_N_Assi[Indirizzo],[1]!Tabella_N_Assi[Tipo Mezzo Preferenziale],"non trovato")</f>
        <v>non trovato</v>
      </c>
      <c r="G353">
        <f>_xlfn.XLOOKUP(A353,[2]Sheet1!$A:$A,[2]Sheet1!$G:$G,"non trovato")</f>
        <v>41.865532999999999</v>
      </c>
      <c r="H353">
        <f>_xlfn.XLOOKUP(A353,[2]Sheet1!$A:$A,[2]Sheet1!$H:$H,"non trovato")</f>
        <v>12.4750234</v>
      </c>
    </row>
    <row r="354" spans="1:8" x14ac:dyDescent="0.25">
      <c r="A354" s="1" t="str">
        <v>500000011661</v>
      </c>
      <c r="B354" s="1" t="str">
        <f>_xlfn.XLOOKUP(A354,[1]!TabellaContenitori[PdR],[1]!TabellaContenitori[AET])</f>
        <v>MARCONI</v>
      </c>
      <c r="C354" s="1" t="str">
        <f>_xlfn.XLOOKUP(A354,[1]!TabellaContenitori[PdR],[1]!TabellaContenitori[Numero civico])</f>
        <v>38</v>
      </c>
      <c r="D354" s="1" t="str">
        <f t="shared" si="10"/>
        <v>MARCONI, 38, Roma</v>
      </c>
      <c r="E354" s="1" t="str">
        <f t="shared" si="11"/>
        <v>MARCONI</v>
      </c>
      <c r="F354" s="1" t="str">
        <f>_xlfn.XLOOKUP(B354,[1]!Tabella_N_Assi[Indirizzo],[1]!Tabella_N_Assi[Tipo Mezzo Preferenziale],"non trovato")</f>
        <v>non trovato</v>
      </c>
      <c r="G354">
        <f>_xlfn.XLOOKUP(A354,[2]Sheet1!$A:$A,[2]Sheet1!$G:$G,"non trovato")</f>
        <v>41.861918500000002</v>
      </c>
      <c r="H354">
        <f>_xlfn.XLOOKUP(A354,[2]Sheet1!$A:$A,[2]Sheet1!$H:$H,"non trovato")</f>
        <v>12.465842200000001</v>
      </c>
    </row>
    <row r="355" spans="1:8" x14ac:dyDescent="0.25">
      <c r="A355" s="1" t="str">
        <v>500000068609</v>
      </c>
      <c r="B355" s="1" t="str">
        <f>_xlfn.XLOOKUP(A355,[1]!TabellaContenitori[PdR],[1]!TabellaContenitori[AET])</f>
        <v>MARCONI</v>
      </c>
      <c r="C355" s="1" t="str">
        <f>_xlfn.XLOOKUP(A355,[1]!TabellaContenitori[PdR],[1]!TabellaContenitori[Numero civico])</f>
        <v>274</v>
      </c>
      <c r="D355" s="1" t="str">
        <f t="shared" si="10"/>
        <v>MARCONI, 274, Roma</v>
      </c>
      <c r="E355" s="1" t="str">
        <f t="shared" si="11"/>
        <v>MARCONI</v>
      </c>
      <c r="F355" s="1" t="str">
        <f>_xlfn.XLOOKUP(B355,[1]!Tabella_N_Assi[Indirizzo],[1]!Tabella_N_Assi[Tipo Mezzo Preferenziale],"non trovato")</f>
        <v>non trovato</v>
      </c>
      <c r="G355">
        <f>_xlfn.XLOOKUP(A355,[2]Sheet1!$A:$A,[2]Sheet1!$G:$G,"non trovato")</f>
        <v>41.862703199999999</v>
      </c>
      <c r="H355">
        <f>_xlfn.XLOOKUP(A355,[2]Sheet1!$A:$A,[2]Sheet1!$H:$H,"non trovato")</f>
        <v>12.4694617</v>
      </c>
    </row>
    <row r="356" spans="1:8" x14ac:dyDescent="0.25">
      <c r="A356" s="1" t="str">
        <v>500000110844</v>
      </c>
      <c r="B356" s="1" t="str">
        <f>_xlfn.XLOOKUP(A356,[1]!TabellaContenitori[PdR],[1]!TabellaContenitori[AET])</f>
        <v>FERMI</v>
      </c>
      <c r="C356" s="1" t="str">
        <f>_xlfn.XLOOKUP(A356,[1]!TabellaContenitori[PdR],[1]!TabellaContenitori[Numero civico])</f>
        <v>82</v>
      </c>
      <c r="D356" s="1" t="str">
        <f t="shared" si="10"/>
        <v>FERMI, 82, Roma</v>
      </c>
      <c r="E356" s="1" t="str">
        <f t="shared" si="11"/>
        <v>FERMI</v>
      </c>
      <c r="F356" s="1" t="str">
        <f>_xlfn.XLOOKUP(B356,[1]!Tabella_N_Assi[Indirizzo],[1]!Tabella_N_Assi[Tipo Mezzo Preferenziale],"non trovato")</f>
        <v>non trovato</v>
      </c>
      <c r="G356">
        <f>_xlfn.XLOOKUP(A356,[2]Sheet1!$A:$A,[2]Sheet1!$G:$G,"non trovato")</f>
        <v>41.862604599999997</v>
      </c>
      <c r="H356">
        <f>_xlfn.XLOOKUP(A356,[2]Sheet1!$A:$A,[2]Sheet1!$H:$H,"non trovato")</f>
        <v>12.471681</v>
      </c>
    </row>
    <row r="357" spans="1:8" x14ac:dyDescent="0.25">
      <c r="A357" s="1" t="str">
        <v>500000047222</v>
      </c>
      <c r="B357" s="1" t="str">
        <f>_xlfn.XLOOKUP(A357,[1]!TabellaContenitori[PdR],[1]!TabellaContenitori[AET])</f>
        <v>FERMI</v>
      </c>
      <c r="C357" s="1" t="str">
        <f>_xlfn.XLOOKUP(A357,[1]!TabellaContenitori[PdR],[1]!TabellaContenitori[Numero civico])</f>
        <v>23</v>
      </c>
      <c r="D357" s="1" t="str">
        <f t="shared" si="10"/>
        <v>FERMI, 23, Roma</v>
      </c>
      <c r="E357" s="1" t="str">
        <f t="shared" si="11"/>
        <v>FERMI</v>
      </c>
      <c r="F357" s="1" t="str">
        <f>_xlfn.XLOOKUP(B357,[1]!Tabella_N_Assi[Indirizzo],[1]!Tabella_N_Assi[Tipo Mezzo Preferenziale],"non trovato")</f>
        <v>non trovato</v>
      </c>
      <c r="G357">
        <f>_xlfn.XLOOKUP(A357,[2]Sheet1!$A:$A,[2]Sheet1!$G:$G,"non trovato")</f>
        <v>41.864571099999999</v>
      </c>
      <c r="H357">
        <f>_xlfn.XLOOKUP(A357,[2]Sheet1!$A:$A,[2]Sheet1!$H:$H,"non trovato")</f>
        <v>12.472239800000001</v>
      </c>
    </row>
    <row r="358" spans="1:8" x14ac:dyDescent="0.25">
      <c r="A358" s="1" t="str">
        <v>500000069612</v>
      </c>
      <c r="B358" s="1" t="str">
        <f>_xlfn.XLOOKUP(A358,[1]!TabellaContenitori[PdR],[1]!TabellaContenitori[AET])</f>
        <v>MARCONI</v>
      </c>
      <c r="C358" s="1" t="str">
        <f>_xlfn.XLOOKUP(A358,[1]!TabellaContenitori[PdR],[1]!TabellaContenitori[Numero civico])</f>
        <v>88</v>
      </c>
      <c r="D358" s="1" t="str">
        <f t="shared" si="10"/>
        <v>MARCONI, 88, Roma</v>
      </c>
      <c r="E358" s="1" t="str">
        <f t="shared" si="11"/>
        <v>MARCONI</v>
      </c>
      <c r="F358" s="1" t="str">
        <f>_xlfn.XLOOKUP(B358,[1]!Tabella_N_Assi[Indirizzo],[1]!Tabella_N_Assi[Tipo Mezzo Preferenziale],"non trovato")</f>
        <v>non trovato</v>
      </c>
      <c r="G358">
        <f>_xlfn.XLOOKUP(A358,[2]Sheet1!$A:$A,[2]Sheet1!$G:$G,"non trovato")</f>
        <v>41.861012600000002</v>
      </c>
      <c r="H358">
        <f>_xlfn.XLOOKUP(A358,[2]Sheet1!$A:$A,[2]Sheet1!$H:$H,"non trovato")</f>
        <v>12.465145700000001</v>
      </c>
    </row>
    <row r="359" spans="1:8" x14ac:dyDescent="0.25">
      <c r="A359" s="1" t="str">
        <v>500000069616</v>
      </c>
      <c r="B359" s="1" t="str">
        <f>_xlfn.XLOOKUP(A359,[1]!TabellaContenitori[PdR],[1]!TabellaContenitori[AET])</f>
        <v>MARCONI</v>
      </c>
      <c r="C359" s="1" t="str">
        <f>_xlfn.XLOOKUP(A359,[1]!TabellaContenitori[PdR],[1]!TabellaContenitori[Numero civico])</f>
        <v>120</v>
      </c>
      <c r="D359" s="1" t="str">
        <f t="shared" si="10"/>
        <v>MARCONI, 120, Roma</v>
      </c>
      <c r="E359" s="1" t="str">
        <f t="shared" si="11"/>
        <v>MARCONI</v>
      </c>
      <c r="F359" s="1" t="str">
        <f>_xlfn.XLOOKUP(B359,[1]!Tabella_N_Assi[Indirizzo],[1]!Tabella_N_Assi[Tipo Mezzo Preferenziale],"non trovato")</f>
        <v>non trovato</v>
      </c>
      <c r="G359">
        <f>_xlfn.XLOOKUP(A359,[2]Sheet1!$A:$A,[2]Sheet1!$G:$G,"non trovato")</f>
        <v>41.861012600000002</v>
      </c>
      <c r="H359">
        <f>_xlfn.XLOOKUP(A359,[2]Sheet1!$A:$A,[2]Sheet1!$H:$H,"non trovato")</f>
        <v>12.465145700000001</v>
      </c>
    </row>
    <row r="360" spans="1:8" x14ac:dyDescent="0.25">
      <c r="A360" s="1" t="str">
        <v>500000087634</v>
      </c>
      <c r="B360" s="1" t="str">
        <f>_xlfn.XLOOKUP(A360,[1]!TabellaContenitori[PdR],[1]!TabellaContenitori[AET])</f>
        <v>ODERISI DA GUBBIO</v>
      </c>
      <c r="C360" s="1" t="str">
        <f>_xlfn.XLOOKUP(A360,[1]!TabellaContenitori[PdR],[1]!TabellaContenitori[Numero civico])</f>
        <v>18</v>
      </c>
      <c r="D360" s="1" t="str">
        <f t="shared" si="10"/>
        <v>ODERISI DA GUBBIO, 18, Roma</v>
      </c>
      <c r="E360" s="1" t="str">
        <f t="shared" si="11"/>
        <v>ODERISI DA GUBBIO</v>
      </c>
      <c r="F360" s="1" t="str">
        <f>_xlfn.XLOOKUP(B360,[1]!Tabella_N_Assi[Indirizzo],[1]!Tabella_N_Assi[Tipo Mezzo Preferenziale],"non trovato")</f>
        <v>non trovato</v>
      </c>
      <c r="G360">
        <f>_xlfn.XLOOKUP(A360,[2]Sheet1!$A:$A,[2]Sheet1!$G:$G,"non trovato")</f>
        <v>41.8635965</v>
      </c>
      <c r="H360">
        <f>_xlfn.XLOOKUP(A360,[2]Sheet1!$A:$A,[2]Sheet1!$H:$H,"non trovato")</f>
        <v>12.464426700000001</v>
      </c>
    </row>
    <row r="361" spans="1:8" x14ac:dyDescent="0.25">
      <c r="A361" s="1" t="str">
        <v>500000059424</v>
      </c>
      <c r="B361" s="1" t="str">
        <f>_xlfn.XLOOKUP(A361,[1]!TabellaContenitori[PdR],[1]!TabellaContenitori[AET])</f>
        <v>MARCONI</v>
      </c>
      <c r="C361" s="1" t="str">
        <f>_xlfn.XLOOKUP(A361,[1]!TabellaContenitori[PdR],[1]!TabellaContenitori[Numero civico])</f>
        <v>38</v>
      </c>
      <c r="D361" s="1" t="str">
        <f t="shared" si="10"/>
        <v>MARCONI, 38, Roma</v>
      </c>
      <c r="E361" s="1" t="str">
        <f t="shared" si="11"/>
        <v>MARCONI</v>
      </c>
      <c r="F361" s="1" t="str">
        <f>_xlfn.XLOOKUP(B361,[1]!Tabella_N_Assi[Indirizzo],[1]!Tabella_N_Assi[Tipo Mezzo Preferenziale],"non trovato")</f>
        <v>non trovato</v>
      </c>
      <c r="G361">
        <f>_xlfn.XLOOKUP(A361,[2]Sheet1!$A:$A,[2]Sheet1!$G:$G,"non trovato")</f>
        <v>41.862639000000001</v>
      </c>
      <c r="H361">
        <f>_xlfn.XLOOKUP(A361,[2]Sheet1!$A:$A,[2]Sheet1!$H:$H,"non trovato")</f>
        <v>12.4655162</v>
      </c>
    </row>
    <row r="362" spans="1:8" x14ac:dyDescent="0.25">
      <c r="A362" s="1" t="str">
        <v>500000087650</v>
      </c>
      <c r="B362" s="1" t="str">
        <f>_xlfn.XLOOKUP(A362,[1]!TabellaContenitori[PdR],[1]!TabellaContenitori[AET])</f>
        <v>ODERISI DA GUBBIO</v>
      </c>
      <c r="C362" s="1" t="str">
        <f>_xlfn.XLOOKUP(A362,[1]!TabellaContenitori[PdR],[1]!TabellaContenitori[Numero civico])</f>
        <v>167</v>
      </c>
      <c r="D362" s="1" t="str">
        <f t="shared" si="10"/>
        <v>ODERISI DA GUBBIO, 167, Roma</v>
      </c>
      <c r="E362" s="1" t="str">
        <f t="shared" si="11"/>
        <v>ODERISI DA GUBBIO</v>
      </c>
      <c r="F362" s="1" t="str">
        <f>_xlfn.XLOOKUP(B362,[1]!Tabella_N_Assi[Indirizzo],[1]!Tabella_N_Assi[Tipo Mezzo Preferenziale],"non trovato")</f>
        <v>non trovato</v>
      </c>
      <c r="G362">
        <f>_xlfn.XLOOKUP(A362,[2]Sheet1!$A:$A,[2]Sheet1!$G:$G,"non trovato")</f>
        <v>41.8635965</v>
      </c>
      <c r="H362">
        <f>_xlfn.XLOOKUP(A362,[2]Sheet1!$A:$A,[2]Sheet1!$H:$H,"non trovato")</f>
        <v>12.464426700000001</v>
      </c>
    </row>
    <row r="363" spans="1:8" x14ac:dyDescent="0.25">
      <c r="A363" s="1" t="str">
        <v>500000087638</v>
      </c>
      <c r="B363" s="1" t="str">
        <f>_xlfn.XLOOKUP(A363,[1]!TabellaContenitori[PdR],[1]!TabellaContenitori[AET])</f>
        <v>ODERISI DA GUBBIO</v>
      </c>
      <c r="C363" s="1" t="str">
        <f>_xlfn.XLOOKUP(A363,[1]!TabellaContenitori[PdR],[1]!TabellaContenitori[Numero civico])</f>
        <v>32</v>
      </c>
      <c r="D363" s="1" t="str">
        <f t="shared" si="10"/>
        <v>ODERISI DA GUBBIO, 32, Roma</v>
      </c>
      <c r="E363" s="1" t="str">
        <f t="shared" si="11"/>
        <v>ODERISI DA GUBBIO</v>
      </c>
      <c r="F363" s="1" t="str">
        <f>_xlfn.XLOOKUP(B363,[1]!Tabella_N_Assi[Indirizzo],[1]!Tabella_N_Assi[Tipo Mezzo Preferenziale],"non trovato")</f>
        <v>non trovato</v>
      </c>
      <c r="G363">
        <f>_xlfn.XLOOKUP(A363,[2]Sheet1!$A:$A,[2]Sheet1!$G:$G,"non trovato")</f>
        <v>41.8635965</v>
      </c>
      <c r="H363">
        <f>_xlfn.XLOOKUP(A363,[2]Sheet1!$A:$A,[2]Sheet1!$H:$H,"non trovato")</f>
        <v>12.464426700000001</v>
      </c>
    </row>
    <row r="364" spans="1:8" x14ac:dyDescent="0.25">
      <c r="A364" s="1" t="str">
        <v>500000087643</v>
      </c>
      <c r="B364" s="1" t="str">
        <f>_xlfn.XLOOKUP(A364,[1]!TabellaContenitori[PdR],[1]!TabellaContenitori[AET])</f>
        <v>ODERISI DA GUBBIO</v>
      </c>
      <c r="C364" s="1" t="str">
        <f>_xlfn.XLOOKUP(A364,[1]!TabellaContenitori[PdR],[1]!TabellaContenitori[Numero civico])</f>
        <v>62</v>
      </c>
      <c r="D364" s="1" t="str">
        <f t="shared" si="10"/>
        <v>ODERISI DA GUBBIO, 62, Roma</v>
      </c>
      <c r="E364" s="1" t="str">
        <f t="shared" si="11"/>
        <v>ODERISI DA GUBBIO</v>
      </c>
      <c r="F364" s="1" t="str">
        <f>_xlfn.XLOOKUP(B364,[1]!Tabella_N_Assi[Indirizzo],[1]!Tabella_N_Assi[Tipo Mezzo Preferenziale],"non trovato")</f>
        <v>non trovato</v>
      </c>
      <c r="G364">
        <f>_xlfn.XLOOKUP(A364,[2]Sheet1!$A:$A,[2]Sheet1!$G:$G,"non trovato")</f>
        <v>41.8635965</v>
      </c>
      <c r="H364">
        <f>_xlfn.XLOOKUP(A364,[2]Sheet1!$A:$A,[2]Sheet1!$H:$H,"non trovato")</f>
        <v>12.464426700000001</v>
      </c>
    </row>
    <row r="365" spans="1:8" x14ac:dyDescent="0.25">
      <c r="A365" s="1" t="str">
        <v>500000055983</v>
      </c>
      <c r="B365" s="1" t="str">
        <f>_xlfn.XLOOKUP(A365,[1]!TabellaContenitori[PdR],[1]!TabellaContenitori[AET])</f>
        <v>ODERISI DA GUBBIO</v>
      </c>
      <c r="C365" s="1" t="str">
        <f>_xlfn.XLOOKUP(A365,[1]!TabellaContenitori[PdR],[1]!TabellaContenitori[Numero civico])</f>
        <v>132</v>
      </c>
      <c r="D365" s="1" t="str">
        <f t="shared" si="10"/>
        <v>ODERISI DA GUBBIO, 132, Roma</v>
      </c>
      <c r="E365" s="1" t="str">
        <f t="shared" si="11"/>
        <v>ODERISI DA GUBBIO</v>
      </c>
      <c r="F365" s="1" t="str">
        <f>_xlfn.XLOOKUP(B365,[1]!Tabella_N_Assi[Indirizzo],[1]!Tabella_N_Assi[Tipo Mezzo Preferenziale],"non trovato")</f>
        <v>non trovato</v>
      </c>
      <c r="G365">
        <f>_xlfn.XLOOKUP(A365,[2]Sheet1!$A:$A,[2]Sheet1!$G:$G,"non trovato")</f>
        <v>41.864790599999999</v>
      </c>
      <c r="H365">
        <f>_xlfn.XLOOKUP(A365,[2]Sheet1!$A:$A,[2]Sheet1!$H:$H,"non trovato")</f>
        <v>12.4679225</v>
      </c>
    </row>
    <row r="366" spans="1:8" x14ac:dyDescent="0.25">
      <c r="A366" s="1" t="str">
        <v>500000055972</v>
      </c>
      <c r="B366" s="1" t="str">
        <f>_xlfn.XLOOKUP(A366,[1]!TabellaContenitori[PdR],[1]!TabellaContenitori[AET])</f>
        <v>ODERISI DA GUBBIO</v>
      </c>
      <c r="C366" s="1" t="str">
        <f>_xlfn.XLOOKUP(A366,[1]!TabellaContenitori[PdR],[1]!TabellaContenitori[Numero civico])</f>
        <v>12</v>
      </c>
      <c r="D366" s="1" t="str">
        <f t="shared" si="10"/>
        <v>ODERISI DA GUBBIO, 12, Roma</v>
      </c>
      <c r="E366" s="1" t="str">
        <f t="shared" si="11"/>
        <v>ODERISI DA GUBBIO</v>
      </c>
      <c r="F366" s="1" t="str">
        <f>_xlfn.XLOOKUP(B366,[1]!Tabella_N_Assi[Indirizzo],[1]!Tabella_N_Assi[Tipo Mezzo Preferenziale],"non trovato")</f>
        <v>non trovato</v>
      </c>
      <c r="G366">
        <f>_xlfn.XLOOKUP(A366,[2]Sheet1!$A:$A,[2]Sheet1!$G:$G,"non trovato")</f>
        <v>41.864790599999999</v>
      </c>
      <c r="H366">
        <f>_xlfn.XLOOKUP(A366,[2]Sheet1!$A:$A,[2]Sheet1!$H:$H,"non trovato")</f>
        <v>12.4679225</v>
      </c>
    </row>
    <row r="367" spans="1:8" x14ac:dyDescent="0.25">
      <c r="A367" s="1" t="str">
        <v>500000100779</v>
      </c>
      <c r="B367" s="1" t="str">
        <f>_xlfn.XLOOKUP(A367,[1]!TabellaContenitori[PdR],[1]!TabellaContenitori[AET])</f>
        <v>ODERISI DA GUBBIO</v>
      </c>
      <c r="C367" s="1" t="str">
        <f>_xlfn.XLOOKUP(A367,[1]!TabellaContenitori[PdR],[1]!TabellaContenitori[Numero civico])</f>
        <v>80</v>
      </c>
      <c r="D367" s="1" t="str">
        <f t="shared" si="10"/>
        <v>ODERISI DA GUBBIO, 80, Roma</v>
      </c>
      <c r="E367" s="1" t="str">
        <f t="shared" si="11"/>
        <v>ODERISI DA GUBBIO</v>
      </c>
      <c r="F367" s="1" t="str">
        <f>_xlfn.XLOOKUP(B367,[1]!Tabella_N_Assi[Indirizzo],[1]!Tabella_N_Assi[Tipo Mezzo Preferenziale],"non trovato")</f>
        <v>non trovato</v>
      </c>
      <c r="G367">
        <f>_xlfn.XLOOKUP(A367,[2]Sheet1!$A:$A,[2]Sheet1!$G:$G,"non trovato")</f>
        <v>41.870023699999997</v>
      </c>
      <c r="H367">
        <f>_xlfn.XLOOKUP(A367,[2]Sheet1!$A:$A,[2]Sheet1!$H:$H,"non trovato")</f>
        <v>12.4672248</v>
      </c>
    </row>
    <row r="368" spans="1:8" x14ac:dyDescent="0.25">
      <c r="A368" s="1" t="str">
        <v>500000108178</v>
      </c>
      <c r="B368" s="1" t="str">
        <f>_xlfn.XLOOKUP(A368,[1]!TabellaContenitori[PdR],[1]!TabellaContenitori[AET])</f>
        <v>MAGLIANA NUOVA</v>
      </c>
      <c r="C368" s="1" t="str">
        <f>_xlfn.XLOOKUP(A368,[1]!TabellaContenitori[PdR],[1]!TabellaContenitori[Numero civico])</f>
        <v>44</v>
      </c>
      <c r="D368" s="1" t="str">
        <f t="shared" si="10"/>
        <v>MAGLIANA NUOVA, 44, Roma</v>
      </c>
      <c r="E368" s="1" t="str">
        <f t="shared" si="11"/>
        <v>MAGLIANA NUOVA</v>
      </c>
      <c r="F368" s="1" t="str">
        <f>_xlfn.XLOOKUP(B368,[1]!Tabella_N_Assi[Indirizzo],[1]!Tabella_N_Assi[Tipo Mezzo Preferenziale],"non trovato")</f>
        <v>non trovato</v>
      </c>
      <c r="G368">
        <f>_xlfn.XLOOKUP(A368,[2]Sheet1!$A:$A,[2]Sheet1!$G:$G,"non trovato")</f>
        <v>41.844357299999999</v>
      </c>
      <c r="H368">
        <f>_xlfn.XLOOKUP(A368,[2]Sheet1!$A:$A,[2]Sheet1!$H:$H,"non trovato")</f>
        <v>12.4568061</v>
      </c>
    </row>
    <row r="369" spans="1:8" x14ac:dyDescent="0.25">
      <c r="A369" s="1" t="str">
        <v>500000094514</v>
      </c>
      <c r="B369" s="1" t="str">
        <f>_xlfn.XLOOKUP(A369,[1]!TabellaContenitori[PdR],[1]!TabellaContenitori[AET])</f>
        <v>FRATTINI</v>
      </c>
      <c r="C369" s="1" t="str">
        <f>_xlfn.XLOOKUP(A369,[1]!TabellaContenitori[PdR],[1]!TabellaContenitori[Numero civico])</f>
        <v>277</v>
      </c>
      <c r="D369" s="1" t="str">
        <f t="shared" si="10"/>
        <v>FRATTINI, 277, Roma</v>
      </c>
      <c r="E369" s="1" t="str">
        <f t="shared" si="11"/>
        <v>FRATTINI</v>
      </c>
      <c r="F369" s="1" t="str">
        <f>_xlfn.XLOOKUP(B369,[1]!Tabella_N_Assi[Indirizzo],[1]!Tabella_N_Assi[Tipo Mezzo Preferenziale],"non trovato")</f>
        <v>non trovato</v>
      </c>
      <c r="G369">
        <f>_xlfn.XLOOKUP(A369,[2]Sheet1!$A:$A,[2]Sheet1!$G:$G,"non trovato")</f>
        <v>41.853628999999998</v>
      </c>
      <c r="H369">
        <f>_xlfn.XLOOKUP(A369,[2]Sheet1!$A:$A,[2]Sheet1!$H:$H,"non trovato")</f>
        <v>12.4476464</v>
      </c>
    </row>
    <row r="370" spans="1:8" x14ac:dyDescent="0.25">
      <c r="A370" s="1" t="str">
        <v>500000019884</v>
      </c>
      <c r="B370" s="1" t="str">
        <f>_xlfn.XLOOKUP(A370,[1]!TabellaContenitori[PdR],[1]!TabellaContenitori[AET])</f>
        <v>FRATTINI</v>
      </c>
      <c r="C370" s="1" t="str">
        <f>_xlfn.XLOOKUP(A370,[1]!TabellaContenitori[PdR],[1]!TabellaContenitori[Numero civico])</f>
        <v>30</v>
      </c>
      <c r="D370" s="1" t="str">
        <f t="shared" si="10"/>
        <v>FRATTINI, 30, Roma</v>
      </c>
      <c r="E370" s="1" t="str">
        <f t="shared" si="11"/>
        <v>FRATTINI</v>
      </c>
      <c r="F370" s="1" t="str">
        <f>_xlfn.XLOOKUP(B370,[1]!Tabella_N_Assi[Indirizzo],[1]!Tabella_N_Assi[Tipo Mezzo Preferenziale],"non trovato")</f>
        <v>non trovato</v>
      </c>
      <c r="G370">
        <f>_xlfn.XLOOKUP(A370,[2]Sheet1!$A:$A,[2]Sheet1!$G:$G,"non trovato")</f>
        <v>41.855411500000002</v>
      </c>
      <c r="H370">
        <f>_xlfn.XLOOKUP(A370,[2]Sheet1!$A:$A,[2]Sheet1!$H:$H,"non trovato")</f>
        <v>12.450764299999999</v>
      </c>
    </row>
    <row r="371" spans="1:8" x14ac:dyDescent="0.25">
      <c r="A371" s="1" t="str">
        <v>500000013502</v>
      </c>
      <c r="B371" s="1" t="str">
        <f>_xlfn.XLOOKUP(A371,[1]!TabellaContenitori[PdR],[1]!TabellaContenitori[AET])</f>
        <v>VIGNA PIA</v>
      </c>
      <c r="C371" s="1" t="str">
        <f>_xlfn.XLOOKUP(A371,[1]!TabellaContenitori[PdR],[1]!TabellaContenitori[Numero civico])</f>
        <v>50</v>
      </c>
      <c r="D371" s="1" t="str">
        <f t="shared" si="10"/>
        <v>VIGNA PIA, 50, Roma</v>
      </c>
      <c r="E371" s="1" t="str">
        <f t="shared" si="11"/>
        <v>VIGNA PIA</v>
      </c>
      <c r="F371" s="1" t="str">
        <f>_xlfn.XLOOKUP(B371,[1]!Tabella_N_Assi[Indirizzo],[1]!Tabella_N_Assi[Tipo Mezzo Preferenziale],"non trovato")</f>
        <v>non trovato</v>
      </c>
      <c r="G371">
        <f>_xlfn.XLOOKUP(A371,[2]Sheet1!$A:$A,[2]Sheet1!$G:$G,"non trovato")</f>
        <v>41.860001599999997</v>
      </c>
      <c r="H371">
        <f>_xlfn.XLOOKUP(A371,[2]Sheet1!$A:$A,[2]Sheet1!$H:$H,"non trovato")</f>
        <v>12.458343599999999</v>
      </c>
    </row>
    <row r="372" spans="1:8" x14ac:dyDescent="0.25">
      <c r="A372" s="1" t="str">
        <v>500000058088</v>
      </c>
      <c r="B372" s="1" t="str">
        <f>_xlfn.XLOOKUP(A372,[1]!TabellaContenitori[PdR],[1]!TabellaContenitori[AET])</f>
        <v>VIGNA PIA</v>
      </c>
      <c r="C372" s="1" t="str">
        <f>_xlfn.XLOOKUP(A372,[1]!TabellaContenitori[PdR],[1]!TabellaContenitori[Numero civico])</f>
        <v>89</v>
      </c>
      <c r="D372" s="1" t="str">
        <f t="shared" si="10"/>
        <v>VIGNA PIA, 89, Roma</v>
      </c>
      <c r="E372" s="1" t="str">
        <f t="shared" si="11"/>
        <v>VIGNA PIA</v>
      </c>
      <c r="F372" s="1" t="str">
        <f>_xlfn.XLOOKUP(B372,[1]!Tabella_N_Assi[Indirizzo],[1]!Tabella_N_Assi[Tipo Mezzo Preferenziale],"non trovato")</f>
        <v>non trovato</v>
      </c>
      <c r="G372">
        <f>_xlfn.XLOOKUP(A372,[2]Sheet1!$A:$A,[2]Sheet1!$G:$G,"non trovato")</f>
        <v>41.862415599999999</v>
      </c>
      <c r="H372">
        <f>_xlfn.XLOOKUP(A372,[2]Sheet1!$A:$A,[2]Sheet1!$H:$H,"non trovato")</f>
        <v>12.4583496</v>
      </c>
    </row>
    <row r="373" spans="1:8" x14ac:dyDescent="0.25">
      <c r="A373" s="1" t="str">
        <v>500000097799</v>
      </c>
      <c r="B373" s="1" t="str">
        <f>_xlfn.XLOOKUP(A373,[1]!TabellaContenitori[PdR],[1]!TabellaContenitori[AET])</f>
        <v>PORTUENSE</v>
      </c>
      <c r="C373" s="1" t="str">
        <f>_xlfn.XLOOKUP(A373,[1]!TabellaContenitori[PdR],[1]!TabellaContenitori[Numero civico])</f>
        <v>469</v>
      </c>
      <c r="D373" s="1" t="str">
        <f t="shared" si="10"/>
        <v>PORTUENSE, 469, Roma</v>
      </c>
      <c r="E373" s="1" t="str">
        <f t="shared" si="11"/>
        <v>PORTUENSE</v>
      </c>
      <c r="F373" s="1" t="str">
        <f>_xlfn.XLOOKUP(B373,[1]!Tabella_N_Assi[Indirizzo],[1]!Tabella_N_Assi[Tipo Mezzo Preferenziale],"non trovato")</f>
        <v>non trovato</v>
      </c>
      <c r="G373">
        <f>_xlfn.XLOOKUP(A373,[2]Sheet1!$A:$A,[2]Sheet1!$G:$G,"non trovato")</f>
        <v>41.870518400000002</v>
      </c>
      <c r="H373">
        <f>_xlfn.XLOOKUP(A373,[2]Sheet1!$A:$A,[2]Sheet1!$H:$H,"non trovato")</f>
        <v>12.4653882</v>
      </c>
    </row>
    <row r="374" spans="1:8" x14ac:dyDescent="0.25">
      <c r="A374" s="1" t="str">
        <v>500000050420</v>
      </c>
      <c r="B374" s="1" t="str">
        <f>_xlfn.XLOOKUP(A374,[1]!TabellaContenitori[PdR],[1]!TabellaContenitori[AET])</f>
        <v>VIGNA PIA</v>
      </c>
      <c r="C374" s="1" t="str">
        <f>_xlfn.XLOOKUP(A374,[1]!TabellaContenitori[PdR],[1]!TabellaContenitori[Numero civico])</f>
        <v>23</v>
      </c>
      <c r="D374" s="1" t="str">
        <f t="shared" si="10"/>
        <v>VIGNA PIA, 23, Roma</v>
      </c>
      <c r="E374" s="1" t="str">
        <f t="shared" si="11"/>
        <v>VIGNA PIA</v>
      </c>
      <c r="F374" s="1" t="str">
        <f>_xlfn.XLOOKUP(B374,[1]!Tabella_N_Assi[Indirizzo],[1]!Tabella_N_Assi[Tipo Mezzo Preferenziale],"non trovato")</f>
        <v>non trovato</v>
      </c>
      <c r="G374">
        <f>_xlfn.XLOOKUP(A374,[2]Sheet1!$A:$A,[2]Sheet1!$G:$G,"non trovato")</f>
        <v>41.860331700000003</v>
      </c>
      <c r="H374">
        <f>_xlfn.XLOOKUP(A374,[2]Sheet1!$A:$A,[2]Sheet1!$H:$H,"non trovato")</f>
        <v>12.4572786</v>
      </c>
    </row>
    <row r="375" spans="1:8" x14ac:dyDescent="0.25">
      <c r="A375" s="1" t="str">
        <v>500000205678</v>
      </c>
      <c r="B375" s="1" t="str">
        <f>_xlfn.XLOOKUP(A375,[1]!TabellaContenitori[PdR],[1]!TabellaContenitori[AET])</f>
        <v>FRATTINI</v>
      </c>
      <c r="C375" s="1" t="str">
        <f>_xlfn.XLOOKUP(A375,[1]!TabellaContenitori[PdR],[1]!TabellaContenitori[Numero civico])</f>
        <v>235</v>
      </c>
      <c r="D375" s="1" t="str">
        <f t="shared" si="10"/>
        <v>FRATTINI, 235, Roma</v>
      </c>
      <c r="E375" s="1" t="str">
        <f t="shared" si="11"/>
        <v>FRATTINI</v>
      </c>
      <c r="F375" s="1" t="str">
        <f>_xlfn.XLOOKUP(B375,[1]!Tabella_N_Assi[Indirizzo],[1]!Tabella_N_Assi[Tipo Mezzo Preferenziale],"non trovato")</f>
        <v>non trovato</v>
      </c>
      <c r="G375">
        <f>_xlfn.XLOOKUP(A375,[2]Sheet1!$A:$A,[2]Sheet1!$G:$G,"non trovato")</f>
        <v>41.853628999999998</v>
      </c>
      <c r="H375">
        <f>_xlfn.XLOOKUP(A375,[2]Sheet1!$A:$A,[2]Sheet1!$H:$H,"non trovato")</f>
        <v>12.4476464</v>
      </c>
    </row>
    <row r="376" spans="1:8" x14ac:dyDescent="0.25">
      <c r="A376" s="1" t="str">
        <v>500000044991</v>
      </c>
      <c r="B376" s="1" t="str">
        <f>_xlfn.XLOOKUP(A376,[1]!TabellaContenitori[PdR],[1]!TabellaContenitori[AET])</f>
        <v>FRATTINI</v>
      </c>
      <c r="C376" s="1" t="str">
        <f>_xlfn.XLOOKUP(A376,[1]!TabellaContenitori[PdR],[1]!TabellaContenitori[Numero civico])</f>
        <v>99999</v>
      </c>
      <c r="D376" s="1" t="str">
        <f t="shared" si="10"/>
        <v>FRATTINI, 99999, Roma</v>
      </c>
      <c r="E376" s="1" t="str">
        <f t="shared" si="11"/>
        <v>FRATTINI</v>
      </c>
      <c r="F376" s="1" t="str">
        <f>_xlfn.XLOOKUP(B376,[1]!Tabella_N_Assi[Indirizzo],[1]!Tabella_N_Assi[Tipo Mezzo Preferenziale],"non trovato")</f>
        <v>non trovato</v>
      </c>
      <c r="G376">
        <f>_xlfn.XLOOKUP(A376,[2]Sheet1!$A:$A,[2]Sheet1!$G:$G,"non trovato")</f>
        <v>41.855052299999002</v>
      </c>
      <c r="H376">
        <f>_xlfn.XLOOKUP(A376,[2]Sheet1!$A:$A,[2]Sheet1!$H:$H,"non trovato")</f>
        <v>12.451435699998999</v>
      </c>
    </row>
    <row r="377" spans="1:8" x14ac:dyDescent="0.25">
      <c r="A377" s="1" t="str">
        <v>500000097810</v>
      </c>
      <c r="B377" s="1" t="str">
        <f>_xlfn.XLOOKUP(A377,[1]!TabellaContenitori[PdR],[1]!TabellaContenitori[AET])</f>
        <v>PORTUENSE</v>
      </c>
      <c r="C377" s="1" t="str">
        <f>_xlfn.XLOOKUP(A377,[1]!TabellaContenitori[PdR],[1]!TabellaContenitori[Numero civico])</f>
        <v>521</v>
      </c>
      <c r="D377" s="1" t="str">
        <f t="shared" si="10"/>
        <v>PORTUENSE, 521, Roma</v>
      </c>
      <c r="E377" s="1" t="str">
        <f t="shared" si="11"/>
        <v>PORTUENSE</v>
      </c>
      <c r="F377" s="1" t="str">
        <f>_xlfn.XLOOKUP(B377,[1]!Tabella_N_Assi[Indirizzo],[1]!Tabella_N_Assi[Tipo Mezzo Preferenziale],"non trovato")</f>
        <v>non trovato</v>
      </c>
      <c r="G377">
        <f>_xlfn.XLOOKUP(A377,[2]Sheet1!$A:$A,[2]Sheet1!$G:$G,"non trovato")</f>
        <v>41.870518400000002</v>
      </c>
      <c r="H377">
        <f>_xlfn.XLOOKUP(A377,[2]Sheet1!$A:$A,[2]Sheet1!$H:$H,"non trovato")</f>
        <v>12.4653882</v>
      </c>
    </row>
    <row r="378" spans="1:8" x14ac:dyDescent="0.25">
      <c r="A378" s="1" t="str">
        <v>500000065784</v>
      </c>
      <c r="B378" s="1" t="str">
        <f>_xlfn.XLOOKUP(A378,[1]!TabellaContenitori[PdR],[1]!TabellaContenitori[AET])</f>
        <v>VIGNA PIA</v>
      </c>
      <c r="C378" s="1" t="str">
        <f>_xlfn.XLOOKUP(A378,[1]!TabellaContenitori[PdR],[1]!TabellaContenitori[Numero civico])</f>
        <v>41</v>
      </c>
      <c r="D378" s="1" t="str">
        <f t="shared" si="10"/>
        <v>VIGNA PIA, 41, Roma</v>
      </c>
      <c r="E378" s="1" t="str">
        <f t="shared" si="11"/>
        <v>VIGNA PIA</v>
      </c>
      <c r="F378" s="1" t="str">
        <f>_xlfn.XLOOKUP(B378,[1]!Tabella_N_Assi[Indirizzo],[1]!Tabella_N_Assi[Tipo Mezzo Preferenziale],"non trovato")</f>
        <v>non trovato</v>
      </c>
      <c r="G378">
        <f>_xlfn.XLOOKUP(A378,[2]Sheet1!$A:$A,[2]Sheet1!$G:$G,"non trovato")</f>
        <v>41.860600599999998</v>
      </c>
      <c r="H378">
        <f>_xlfn.XLOOKUP(A378,[2]Sheet1!$A:$A,[2]Sheet1!$H:$H,"non trovato")</f>
        <v>12.452281899999999</v>
      </c>
    </row>
    <row r="379" spans="1:8" x14ac:dyDescent="0.25">
      <c r="A379" s="1" t="str">
        <v>500000066426</v>
      </c>
      <c r="B379" s="1" t="str">
        <f>_xlfn.XLOOKUP(A379,[1]!TabellaContenitori[PdR],[1]!TabellaContenitori[AET])</f>
        <v>FRATTINI</v>
      </c>
      <c r="C379" s="1" t="str">
        <f>_xlfn.XLOOKUP(A379,[1]!TabellaContenitori[PdR],[1]!TabellaContenitori[Numero civico])</f>
        <v>55</v>
      </c>
      <c r="D379" s="1" t="str">
        <f t="shared" si="10"/>
        <v>FRATTINI, 55, Roma</v>
      </c>
      <c r="E379" s="1" t="str">
        <f t="shared" si="11"/>
        <v>FRATTINI</v>
      </c>
      <c r="F379" s="1" t="str">
        <f>_xlfn.XLOOKUP(B379,[1]!Tabella_N_Assi[Indirizzo],[1]!Tabella_N_Assi[Tipo Mezzo Preferenziale],"non trovato")</f>
        <v>non trovato</v>
      </c>
      <c r="G379">
        <f>_xlfn.XLOOKUP(A379,[2]Sheet1!$A:$A,[2]Sheet1!$G:$G,"non trovato")</f>
        <v>41.855439699999998</v>
      </c>
      <c r="H379">
        <f>_xlfn.XLOOKUP(A379,[2]Sheet1!$A:$A,[2]Sheet1!$H:$H,"non trovato")</f>
        <v>12.4485481</v>
      </c>
    </row>
    <row r="380" spans="1:8" x14ac:dyDescent="0.25">
      <c r="A380" s="1" t="str">
        <v>500000205678</v>
      </c>
      <c r="B380" s="1" t="str">
        <f>_xlfn.XLOOKUP(A380,[1]!TabellaContenitori[PdR],[1]!TabellaContenitori[AET])</f>
        <v>FRATTINI</v>
      </c>
      <c r="C380" s="1" t="str">
        <f>_xlfn.XLOOKUP(A380,[1]!TabellaContenitori[PdR],[1]!TabellaContenitori[Numero civico])</f>
        <v>235</v>
      </c>
      <c r="D380" s="1" t="str">
        <f t="shared" si="10"/>
        <v>FRATTINI, 235, Roma</v>
      </c>
      <c r="E380" s="1" t="str">
        <f t="shared" si="11"/>
        <v>FRATTINI</v>
      </c>
      <c r="F380" s="1" t="str">
        <f>_xlfn.XLOOKUP(B380,[1]!Tabella_N_Assi[Indirizzo],[1]!Tabella_N_Assi[Tipo Mezzo Preferenziale],"non trovato")</f>
        <v>non trovato</v>
      </c>
      <c r="G380">
        <f>_xlfn.XLOOKUP(A380,[2]Sheet1!$A:$A,[2]Sheet1!$G:$G,"non trovato")</f>
        <v>41.853628999999998</v>
      </c>
      <c r="H380">
        <f>_xlfn.XLOOKUP(A380,[2]Sheet1!$A:$A,[2]Sheet1!$H:$H,"non trovato")</f>
        <v>12.4476464</v>
      </c>
    </row>
    <row r="381" spans="1:8" x14ac:dyDescent="0.25">
      <c r="A381" s="1" t="str">
        <v>500000099779</v>
      </c>
      <c r="B381" s="1" t="str">
        <f>_xlfn.XLOOKUP(A381,[1]!TabellaContenitori[PdR],[1]!TabellaContenitori[AET])</f>
        <v>FRATTINI</v>
      </c>
      <c r="C381" s="1" t="str">
        <f>_xlfn.XLOOKUP(A381,[1]!TabellaContenitori[PdR],[1]!TabellaContenitori[Numero civico])</f>
        <v>89</v>
      </c>
      <c r="D381" s="1" t="str">
        <f t="shared" si="10"/>
        <v>FRATTINI, 89, Roma</v>
      </c>
      <c r="E381" s="1" t="str">
        <f t="shared" si="11"/>
        <v>FRATTINI</v>
      </c>
      <c r="F381" s="1" t="str">
        <f>_xlfn.XLOOKUP(B381,[1]!Tabella_N_Assi[Indirizzo],[1]!Tabella_N_Assi[Tipo Mezzo Preferenziale],"non trovato")</f>
        <v>non trovato</v>
      </c>
      <c r="G381">
        <f>_xlfn.XLOOKUP(A381,[2]Sheet1!$A:$A,[2]Sheet1!$G:$G,"non trovato")</f>
        <v>41.855813499999996</v>
      </c>
      <c r="H381">
        <f>_xlfn.XLOOKUP(A381,[2]Sheet1!$A:$A,[2]Sheet1!$H:$H,"non trovato")</f>
        <v>12.450601900000001</v>
      </c>
    </row>
    <row r="382" spans="1:8" x14ac:dyDescent="0.25">
      <c r="A382" s="1" t="str">
        <v>500000015823</v>
      </c>
      <c r="B382" s="1" t="str">
        <f>_xlfn.XLOOKUP(A382,[1]!TabellaContenitori[PdR],[1]!TabellaContenitori[AET])</f>
        <v>VIGNA PIA</v>
      </c>
      <c r="C382" s="1" t="str">
        <f>_xlfn.XLOOKUP(A382,[1]!TabellaContenitori[PdR],[1]!TabellaContenitori[Numero civico])</f>
        <v>52</v>
      </c>
      <c r="D382" s="1" t="str">
        <f t="shared" si="10"/>
        <v>VIGNA PIA, 52, Roma</v>
      </c>
      <c r="E382" s="1" t="str">
        <f t="shared" si="11"/>
        <v>VIGNA PIA</v>
      </c>
      <c r="F382" s="1" t="str">
        <f>_xlfn.XLOOKUP(B382,[1]!Tabella_N_Assi[Indirizzo],[1]!Tabella_N_Assi[Tipo Mezzo Preferenziale],"non trovato")</f>
        <v>non trovato</v>
      </c>
      <c r="G382">
        <f>_xlfn.XLOOKUP(A382,[2]Sheet1!$A:$A,[2]Sheet1!$G:$G,"non trovato")</f>
        <v>41.8604068</v>
      </c>
      <c r="H382">
        <f>_xlfn.XLOOKUP(A382,[2]Sheet1!$A:$A,[2]Sheet1!$H:$H,"non trovato")</f>
        <v>12.455799900000001</v>
      </c>
    </row>
    <row r="383" spans="1:8" x14ac:dyDescent="0.25">
      <c r="A383" s="1" t="str">
        <v>500000058086</v>
      </c>
      <c r="B383" s="1" t="str">
        <f>_xlfn.XLOOKUP(A383,[1]!TabellaContenitori[PdR],[1]!TabellaContenitori[AET])</f>
        <v>VIGNA PIA</v>
      </c>
      <c r="C383" s="1" t="str">
        <f>_xlfn.XLOOKUP(A383,[1]!TabellaContenitori[PdR],[1]!TabellaContenitori[Numero civico])</f>
        <v>55</v>
      </c>
      <c r="D383" s="1" t="str">
        <f t="shared" si="10"/>
        <v>VIGNA PIA, 55, Roma</v>
      </c>
      <c r="E383" s="1" t="str">
        <f t="shared" si="11"/>
        <v>VIGNA PIA</v>
      </c>
      <c r="F383" s="1" t="str">
        <f>_xlfn.XLOOKUP(B383,[1]!Tabella_N_Assi[Indirizzo],[1]!Tabella_N_Assi[Tipo Mezzo Preferenziale],"non trovato")</f>
        <v>non trovato</v>
      </c>
      <c r="G383">
        <f>_xlfn.XLOOKUP(A383,[2]Sheet1!$A:$A,[2]Sheet1!$G:$G,"non trovato")</f>
        <v>41.862415599999999</v>
      </c>
      <c r="H383">
        <f>_xlfn.XLOOKUP(A383,[2]Sheet1!$A:$A,[2]Sheet1!$H:$H,"non trovato")</f>
        <v>12.4583496</v>
      </c>
    </row>
    <row r="384" spans="1:8" x14ac:dyDescent="0.25">
      <c r="A384" s="1" t="str">
        <v>500000099777</v>
      </c>
      <c r="B384" s="1" t="str">
        <f>_xlfn.XLOOKUP(A384,[1]!TabellaContenitori[PdR],[1]!TabellaContenitori[AET])</f>
        <v>FRATTINI</v>
      </c>
      <c r="C384" s="1" t="str">
        <f>_xlfn.XLOOKUP(A384,[1]!TabellaContenitori[PdR],[1]!TabellaContenitori[Numero civico])</f>
        <v>61</v>
      </c>
      <c r="D384" s="1" t="str">
        <f t="shared" si="10"/>
        <v>FRATTINI, 61, Roma</v>
      </c>
      <c r="E384" s="1" t="str">
        <f t="shared" si="11"/>
        <v>FRATTINI</v>
      </c>
      <c r="F384" s="1" t="str">
        <f>_xlfn.XLOOKUP(B384,[1]!Tabella_N_Assi[Indirizzo],[1]!Tabella_N_Assi[Tipo Mezzo Preferenziale],"non trovato")</f>
        <v>non trovato</v>
      </c>
      <c r="G384">
        <f>_xlfn.XLOOKUP(A384,[2]Sheet1!$A:$A,[2]Sheet1!$G:$G,"non trovato")</f>
        <v>41.855813499999996</v>
      </c>
      <c r="H384">
        <f>_xlfn.XLOOKUP(A384,[2]Sheet1!$A:$A,[2]Sheet1!$H:$H,"non trovato")</f>
        <v>12.450601900000001</v>
      </c>
    </row>
    <row r="385" spans="1:8" x14ac:dyDescent="0.25">
      <c r="A385" s="1" t="str">
        <v>500000086511</v>
      </c>
      <c r="B385" s="1" t="str">
        <f>_xlfn.XLOOKUP(A385,[1]!TabellaContenitori[PdR],[1]!TabellaContenitori[AET])</f>
        <v>VIGNA PIA</v>
      </c>
      <c r="C385" s="1" t="str">
        <f>_xlfn.XLOOKUP(A385,[1]!TabellaContenitori[PdR],[1]!TabellaContenitori[Numero civico])</f>
        <v>78</v>
      </c>
      <c r="D385" s="1" t="str">
        <f t="shared" si="10"/>
        <v>VIGNA PIA, 78, Roma</v>
      </c>
      <c r="E385" s="1" t="str">
        <f t="shared" si="11"/>
        <v>VIGNA PIA</v>
      </c>
      <c r="F385" s="1" t="str">
        <f>_xlfn.XLOOKUP(B385,[1]!Tabella_N_Assi[Indirizzo],[1]!Tabella_N_Assi[Tipo Mezzo Preferenziale],"non trovato")</f>
        <v>non trovato</v>
      </c>
      <c r="G385">
        <f>_xlfn.XLOOKUP(A385,[2]Sheet1!$A:$A,[2]Sheet1!$G:$G,"non trovato")</f>
        <v>41.862243599999999</v>
      </c>
      <c r="H385">
        <f>_xlfn.XLOOKUP(A385,[2]Sheet1!$A:$A,[2]Sheet1!$H:$H,"non trovato")</f>
        <v>12.460785599999999</v>
      </c>
    </row>
    <row r="386" spans="1:8" x14ac:dyDescent="0.25">
      <c r="A386" s="1" t="str">
        <v>500000097790</v>
      </c>
      <c r="B386" s="1" t="str">
        <f>_xlfn.XLOOKUP(A386,[1]!TabellaContenitori[PdR],[1]!TabellaContenitori[AET])</f>
        <v>PORTUENSE</v>
      </c>
      <c r="C386" s="1" t="str">
        <f>_xlfn.XLOOKUP(A386,[1]!TabellaContenitori[PdR],[1]!TabellaContenitori[Numero civico])</f>
        <v>377</v>
      </c>
      <c r="D386" s="1" t="str">
        <f t="shared" si="10"/>
        <v>PORTUENSE, 377, Roma</v>
      </c>
      <c r="E386" s="1" t="str">
        <f t="shared" si="11"/>
        <v>PORTUENSE</v>
      </c>
      <c r="F386" s="1" t="str">
        <f>_xlfn.XLOOKUP(B386,[1]!Tabella_N_Assi[Indirizzo],[1]!Tabella_N_Assi[Tipo Mezzo Preferenziale],"non trovato")</f>
        <v>non trovato</v>
      </c>
      <c r="G386">
        <f>_xlfn.XLOOKUP(A386,[2]Sheet1!$A:$A,[2]Sheet1!$G:$G,"non trovato")</f>
        <v>41.870518400000002</v>
      </c>
      <c r="H386">
        <f>_xlfn.XLOOKUP(A386,[2]Sheet1!$A:$A,[2]Sheet1!$H:$H,"non trovato")</f>
        <v>12.4653882</v>
      </c>
    </row>
    <row r="387" spans="1:8" x14ac:dyDescent="0.25">
      <c r="A387" s="1" t="str">
        <v>500000097757</v>
      </c>
      <c r="B387" s="1" t="str">
        <f>_xlfn.XLOOKUP(A387,[1]!TabellaContenitori[PdR],[1]!TabellaContenitori[AET])</f>
        <v>PORTUENSE</v>
      </c>
      <c r="C387" s="1" t="str">
        <f>_xlfn.XLOOKUP(A387,[1]!TabellaContenitori[PdR],[1]!TabellaContenitori[Numero civico])</f>
        <v>247</v>
      </c>
      <c r="D387" s="1" t="str">
        <f t="shared" ref="D387:D450" si="12">CONCATENATE(B387,", ",C387,", Roma")</f>
        <v>PORTUENSE, 247, Roma</v>
      </c>
      <c r="E387" s="1" t="str">
        <f t="shared" ref="E387:E450" si="13">_xlfn.TEXTBEFORE(D387,",")</f>
        <v>PORTUENSE</v>
      </c>
      <c r="F387" s="1" t="str">
        <f>_xlfn.XLOOKUP(B387,[1]!Tabella_N_Assi[Indirizzo],[1]!Tabella_N_Assi[Tipo Mezzo Preferenziale],"non trovato")</f>
        <v>non trovato</v>
      </c>
      <c r="G387">
        <f>_xlfn.XLOOKUP(A387,[2]Sheet1!$A:$A,[2]Sheet1!$G:$G,"non trovato")</f>
        <v>41.870518400000002</v>
      </c>
      <c r="H387">
        <f>_xlfn.XLOOKUP(A387,[2]Sheet1!$A:$A,[2]Sheet1!$H:$H,"non trovato")</f>
        <v>12.4653882</v>
      </c>
    </row>
    <row r="388" spans="1:8" x14ac:dyDescent="0.25">
      <c r="A388" s="1" t="str">
        <v>500000068667</v>
      </c>
      <c r="B388" s="1" t="str">
        <f>_xlfn.XLOOKUP(A388,[1]!TabellaContenitori[PdR],[1]!TabellaContenitori[AET])</f>
        <v>VIGNA PIA</v>
      </c>
      <c r="C388" s="1" t="str">
        <f>_xlfn.XLOOKUP(A388,[1]!TabellaContenitori[PdR],[1]!TabellaContenitori[Numero civico])</f>
        <v>9</v>
      </c>
      <c r="D388" s="1" t="str">
        <f t="shared" si="12"/>
        <v>VIGNA PIA, 9, Roma</v>
      </c>
      <c r="E388" s="1" t="str">
        <f t="shared" si="13"/>
        <v>VIGNA PIA</v>
      </c>
      <c r="F388" s="1" t="str">
        <f>_xlfn.XLOOKUP(B388,[1]!Tabella_N_Assi[Indirizzo],[1]!Tabella_N_Assi[Tipo Mezzo Preferenziale],"non trovato")</f>
        <v>non trovato</v>
      </c>
      <c r="G388">
        <f>_xlfn.XLOOKUP(A388,[2]Sheet1!$A:$A,[2]Sheet1!$G:$G,"non trovato")</f>
        <v>41.860209099999999</v>
      </c>
      <c r="H388">
        <f>_xlfn.XLOOKUP(A388,[2]Sheet1!$A:$A,[2]Sheet1!$H:$H,"non trovato")</f>
        <v>12.458497100000001</v>
      </c>
    </row>
    <row r="389" spans="1:8" x14ac:dyDescent="0.25">
      <c r="A389" s="1" t="str">
        <v>500000026387</v>
      </c>
      <c r="B389" s="1" t="str">
        <f>_xlfn.XLOOKUP(A389,[1]!TabellaContenitori[PdR],[1]!TabellaContenitori[AET])</f>
        <v>FRATTINI</v>
      </c>
      <c r="C389" s="1" t="str">
        <f>_xlfn.XLOOKUP(A389,[1]!TabellaContenitori[PdR],[1]!TabellaContenitori[Numero civico])</f>
        <v>18</v>
      </c>
      <c r="D389" s="1" t="str">
        <f t="shared" si="12"/>
        <v>FRATTINI, 18, Roma</v>
      </c>
      <c r="E389" s="1" t="str">
        <f t="shared" si="13"/>
        <v>FRATTINI</v>
      </c>
      <c r="F389" s="1" t="str">
        <f>_xlfn.XLOOKUP(B389,[1]!Tabella_N_Assi[Indirizzo],[1]!Tabella_N_Assi[Tipo Mezzo Preferenziale],"non trovato")</f>
        <v>non trovato</v>
      </c>
      <c r="G389">
        <f>_xlfn.XLOOKUP(A389,[2]Sheet1!$A:$A,[2]Sheet1!$G:$G,"non trovato")</f>
        <v>41.849945400000003</v>
      </c>
      <c r="H389">
        <f>_xlfn.XLOOKUP(A389,[2]Sheet1!$A:$A,[2]Sheet1!$H:$H,"non trovato")</f>
        <v>12.452703</v>
      </c>
    </row>
    <row r="390" spans="1:8" x14ac:dyDescent="0.25">
      <c r="A390" s="1" t="str">
        <v>500000075866</v>
      </c>
      <c r="B390" s="1" t="str">
        <f>_xlfn.XLOOKUP(A390,[1]!TabellaContenitori[PdR],[1]!TabellaContenitori[AET])</f>
        <v>MAGLIANA</v>
      </c>
      <c r="C390" s="1" t="str">
        <f>_xlfn.XLOOKUP(A390,[1]!TabellaContenitori[PdR],[1]!TabellaContenitori[Numero civico])</f>
        <v>63</v>
      </c>
      <c r="D390" s="1" t="str">
        <f t="shared" si="12"/>
        <v>MAGLIANA, 63, Roma</v>
      </c>
      <c r="E390" s="1" t="str">
        <f t="shared" si="13"/>
        <v>MAGLIANA</v>
      </c>
      <c r="F390" s="1" t="str">
        <f>_xlfn.XLOOKUP(B390,[1]!Tabella_N_Assi[Indirizzo],[1]!Tabella_N_Assi[Tipo Mezzo Preferenziale],"non trovato")</f>
        <v>non trovato</v>
      </c>
      <c r="G390">
        <f>_xlfn.XLOOKUP(A390,[2]Sheet1!$A:$A,[2]Sheet1!$G:$G,"non trovato")</f>
        <v>41.821498800000001</v>
      </c>
      <c r="H390">
        <f>_xlfn.XLOOKUP(A390,[2]Sheet1!$A:$A,[2]Sheet1!$H:$H,"non trovato")</f>
        <v>12.394792799999999</v>
      </c>
    </row>
    <row r="391" spans="1:8" x14ac:dyDescent="0.25">
      <c r="A391" s="1" t="str">
        <v>500000075888</v>
      </c>
      <c r="B391" s="1" t="str">
        <f>_xlfn.XLOOKUP(A391,[1]!TabellaContenitori[PdR],[1]!TabellaContenitori[AET])</f>
        <v>MAGLIANA</v>
      </c>
      <c r="C391" s="1" t="str">
        <f>_xlfn.XLOOKUP(A391,[1]!TabellaContenitori[PdR],[1]!TabellaContenitori[Numero civico])</f>
        <v>179</v>
      </c>
      <c r="D391" s="1" t="str">
        <f t="shared" si="12"/>
        <v>MAGLIANA, 179, Roma</v>
      </c>
      <c r="E391" s="1" t="str">
        <f t="shared" si="13"/>
        <v>MAGLIANA</v>
      </c>
      <c r="F391" s="1" t="str">
        <f>_xlfn.XLOOKUP(B391,[1]!Tabella_N_Assi[Indirizzo],[1]!Tabella_N_Assi[Tipo Mezzo Preferenziale],"non trovato")</f>
        <v>non trovato</v>
      </c>
      <c r="G391">
        <f>_xlfn.XLOOKUP(A391,[2]Sheet1!$A:$A,[2]Sheet1!$G:$G,"non trovato")</f>
        <v>41.821498800000001</v>
      </c>
      <c r="H391">
        <f>_xlfn.XLOOKUP(A391,[2]Sheet1!$A:$A,[2]Sheet1!$H:$H,"non trovato")</f>
        <v>12.394792799999999</v>
      </c>
    </row>
    <row r="392" spans="1:8" x14ac:dyDescent="0.25">
      <c r="A392" s="1" t="str">
        <v>500000066505</v>
      </c>
      <c r="B392" s="1" t="str">
        <f>_xlfn.XLOOKUP(A392,[1]!TabellaContenitori[PdR],[1]!TabellaContenitori[AET])</f>
        <v>PORTUENSE</v>
      </c>
      <c r="C392" s="1" t="str">
        <f>_xlfn.XLOOKUP(A392,[1]!TabellaContenitori[PdR],[1]!TabellaContenitori[Numero civico])</f>
        <v>13</v>
      </c>
      <c r="D392" s="1" t="str">
        <f t="shared" si="12"/>
        <v>PORTUENSE, 13, Roma</v>
      </c>
      <c r="E392" s="1" t="str">
        <f t="shared" si="13"/>
        <v>PORTUENSE</v>
      </c>
      <c r="F392" s="1" t="str">
        <f>_xlfn.XLOOKUP(B392,[1]!Tabella_N_Assi[Indirizzo],[1]!Tabella_N_Assi[Tipo Mezzo Preferenziale],"non trovato")</f>
        <v>non trovato</v>
      </c>
      <c r="G392">
        <f>_xlfn.XLOOKUP(A392,[2]Sheet1!$A:$A,[2]Sheet1!$G:$G,"non trovato")</f>
        <v>41.858622699999998</v>
      </c>
      <c r="H392">
        <f>_xlfn.XLOOKUP(A392,[2]Sheet1!$A:$A,[2]Sheet1!$H:$H,"non trovato")</f>
        <v>12.452030199999999</v>
      </c>
    </row>
    <row r="393" spans="1:8" x14ac:dyDescent="0.25">
      <c r="A393" s="1" t="str">
        <v>500000066506</v>
      </c>
      <c r="B393" s="1" t="str">
        <f>_xlfn.XLOOKUP(A393,[1]!TabellaContenitori[PdR],[1]!TabellaContenitori[AET])</f>
        <v>PORTUENSE</v>
      </c>
      <c r="C393" s="1" t="str">
        <f>_xlfn.XLOOKUP(A393,[1]!TabellaContenitori[PdR],[1]!TabellaContenitori[Numero civico])</f>
        <v>23</v>
      </c>
      <c r="D393" s="1" t="str">
        <f t="shared" si="12"/>
        <v>PORTUENSE, 23, Roma</v>
      </c>
      <c r="E393" s="1" t="str">
        <f t="shared" si="13"/>
        <v>PORTUENSE</v>
      </c>
      <c r="F393" s="1" t="str">
        <f>_xlfn.XLOOKUP(B393,[1]!Tabella_N_Assi[Indirizzo],[1]!Tabella_N_Assi[Tipo Mezzo Preferenziale],"non trovato")</f>
        <v>non trovato</v>
      </c>
      <c r="G393">
        <f>_xlfn.XLOOKUP(A393,[2]Sheet1!$A:$A,[2]Sheet1!$G:$G,"non trovato")</f>
        <v>41.858622699999998</v>
      </c>
      <c r="H393">
        <f>_xlfn.XLOOKUP(A393,[2]Sheet1!$A:$A,[2]Sheet1!$H:$H,"non trovato")</f>
        <v>12.452030199999999</v>
      </c>
    </row>
    <row r="394" spans="1:8" x14ac:dyDescent="0.25">
      <c r="A394" s="1" t="str">
        <v>500000075904</v>
      </c>
      <c r="B394" s="1" t="str">
        <f>_xlfn.XLOOKUP(A394,[1]!TabellaContenitori[PdR],[1]!TabellaContenitori[AET])</f>
        <v>MAGLIANA</v>
      </c>
      <c r="C394" s="1" t="str">
        <f>_xlfn.XLOOKUP(A394,[1]!TabellaContenitori[PdR],[1]!TabellaContenitori[Numero civico])</f>
        <v>224</v>
      </c>
      <c r="D394" s="1" t="str">
        <f t="shared" si="12"/>
        <v>MAGLIANA, 224, Roma</v>
      </c>
      <c r="E394" s="1" t="str">
        <f t="shared" si="13"/>
        <v>MAGLIANA</v>
      </c>
      <c r="F394" s="1" t="str">
        <f>_xlfn.XLOOKUP(B394,[1]!Tabella_N_Assi[Indirizzo],[1]!Tabella_N_Assi[Tipo Mezzo Preferenziale],"non trovato")</f>
        <v>non trovato</v>
      </c>
      <c r="G394">
        <f>_xlfn.XLOOKUP(A394,[2]Sheet1!$A:$A,[2]Sheet1!$G:$G,"non trovato")</f>
        <v>41.821498800000001</v>
      </c>
      <c r="H394">
        <f>_xlfn.XLOOKUP(A394,[2]Sheet1!$A:$A,[2]Sheet1!$H:$H,"non trovato")</f>
        <v>12.394792799999999</v>
      </c>
    </row>
    <row r="395" spans="1:8" x14ac:dyDescent="0.25">
      <c r="A395" s="1" t="str">
        <v>500000075874</v>
      </c>
      <c r="B395" s="1" t="str">
        <f>_xlfn.XLOOKUP(A395,[1]!TabellaContenitori[PdR],[1]!TabellaContenitori[AET])</f>
        <v>MAGLIANA</v>
      </c>
      <c r="C395" s="1" t="str">
        <f>_xlfn.XLOOKUP(A395,[1]!TabellaContenitori[PdR],[1]!TabellaContenitori[Numero civico])</f>
        <v>126</v>
      </c>
      <c r="D395" s="1" t="str">
        <f t="shared" si="12"/>
        <v>MAGLIANA, 126, Roma</v>
      </c>
      <c r="E395" s="1" t="str">
        <f t="shared" si="13"/>
        <v>MAGLIANA</v>
      </c>
      <c r="F395" s="1" t="str">
        <f>_xlfn.XLOOKUP(B395,[1]!Tabella_N_Assi[Indirizzo],[1]!Tabella_N_Assi[Tipo Mezzo Preferenziale],"non trovato")</f>
        <v>non trovato</v>
      </c>
      <c r="G395">
        <f>_xlfn.XLOOKUP(A395,[2]Sheet1!$A:$A,[2]Sheet1!$G:$G,"non trovato")</f>
        <v>41.821498800000001</v>
      </c>
      <c r="H395">
        <f>_xlfn.XLOOKUP(A395,[2]Sheet1!$A:$A,[2]Sheet1!$H:$H,"non trovato")</f>
        <v>12.394792799999999</v>
      </c>
    </row>
    <row r="396" spans="1:8" x14ac:dyDescent="0.25">
      <c r="A396" s="1" t="str">
        <v>500000019737</v>
      </c>
      <c r="B396" s="1" t="str">
        <f>_xlfn.XLOOKUP(A396,[1]!TabellaContenitori[PdR],[1]!TabellaContenitori[AET])</f>
        <v>MAGLIANA</v>
      </c>
      <c r="C396" s="1" t="str">
        <f>_xlfn.XLOOKUP(A396,[1]!TabellaContenitori[PdR],[1]!TabellaContenitori[Numero civico])</f>
        <v>83</v>
      </c>
      <c r="D396" s="1" t="str">
        <f t="shared" si="12"/>
        <v>MAGLIANA, 83, Roma</v>
      </c>
      <c r="E396" s="1" t="str">
        <f t="shared" si="13"/>
        <v>MAGLIANA</v>
      </c>
      <c r="F396" s="1" t="str">
        <f>_xlfn.XLOOKUP(B396,[1]!Tabella_N_Assi[Indirizzo],[1]!Tabella_N_Assi[Tipo Mezzo Preferenziale],"non trovato")</f>
        <v>non trovato</v>
      </c>
      <c r="G396">
        <f>_xlfn.XLOOKUP(A396,[2]Sheet1!$A:$A,[2]Sheet1!$G:$G,"non trovato")</f>
        <v>41.853244599999996</v>
      </c>
      <c r="H396">
        <f>_xlfn.XLOOKUP(A396,[2]Sheet1!$A:$A,[2]Sheet1!$H:$H,"non trovato")</f>
        <v>12.456374800000001</v>
      </c>
    </row>
    <row r="397" spans="1:8" x14ac:dyDescent="0.25">
      <c r="A397" s="1" t="str">
        <v>500000120343</v>
      </c>
      <c r="B397" s="1" t="str">
        <f>_xlfn.XLOOKUP(A397,[1]!TabellaContenitori[PdR],[1]!TabellaContenitori[AET])</f>
        <v>TRULLO - MONTE CUCCO</v>
      </c>
      <c r="C397" s="1" t="str">
        <f>_xlfn.XLOOKUP(A397,[1]!TabellaContenitori[PdR],[1]!TabellaContenitori[Numero civico])</f>
        <v>351</v>
      </c>
      <c r="D397" s="1" t="str">
        <f t="shared" si="12"/>
        <v>TRULLO - MONTE CUCCO, 351, Roma</v>
      </c>
      <c r="E397" s="1" t="str">
        <f t="shared" si="13"/>
        <v>TRULLO - MONTE CUCCO</v>
      </c>
      <c r="F397" s="1" t="str">
        <f>_xlfn.XLOOKUP(B397,[1]!Tabella_N_Assi[Indirizzo],[1]!Tabella_N_Assi[Tipo Mezzo Preferenziale],"non trovato")</f>
        <v>non trovato</v>
      </c>
      <c r="G397">
        <f>_xlfn.XLOOKUP(A397,[2]Sheet1!$A:$A,[2]Sheet1!$G:$G,"non trovato")</f>
        <v>41.8431517</v>
      </c>
      <c r="H397">
        <f>_xlfn.XLOOKUP(A397,[2]Sheet1!$A:$A,[2]Sheet1!$H:$H,"non trovato")</f>
        <v>12.436747499999999</v>
      </c>
    </row>
    <row r="398" spans="1:8" x14ac:dyDescent="0.25">
      <c r="A398" s="1" t="str">
        <v>500000014537</v>
      </c>
      <c r="B398" s="1" t="str">
        <f>_xlfn.XLOOKUP(A398,[1]!TabellaContenitori[PdR],[1]!TabellaContenitori[AET])</f>
        <v>CASETTA MATTEI</v>
      </c>
      <c r="C398" s="1" t="str">
        <f>_xlfn.XLOOKUP(A398,[1]!TabellaContenitori[PdR],[1]!TabellaContenitori[Numero civico])</f>
        <v>64</v>
      </c>
      <c r="D398" s="1" t="str">
        <f t="shared" si="12"/>
        <v>CASETTA MATTEI, 64, Roma</v>
      </c>
      <c r="E398" s="1" t="str">
        <f t="shared" si="13"/>
        <v>CASETTA MATTEI</v>
      </c>
      <c r="F398" s="1" t="str">
        <f>_xlfn.XLOOKUP(B398,[1]!Tabella_N_Assi[Indirizzo],[1]!Tabella_N_Assi[Tipo Mezzo Preferenziale],"non trovato")</f>
        <v>non trovato</v>
      </c>
      <c r="G398">
        <f>_xlfn.XLOOKUP(A398,[2]Sheet1!$A:$A,[2]Sheet1!$G:$G,"non trovato")</f>
        <v>41.858801</v>
      </c>
      <c r="H398">
        <f>_xlfn.XLOOKUP(A398,[2]Sheet1!$A:$A,[2]Sheet1!$H:$H,"non trovato")</f>
        <v>12.4178953</v>
      </c>
    </row>
    <row r="399" spans="1:8" x14ac:dyDescent="0.25">
      <c r="A399" s="1" t="str">
        <v>500000124513</v>
      </c>
      <c r="B399" s="1" t="str">
        <f>_xlfn.XLOOKUP(A399,[1]!TabellaContenitori[PdR],[1]!TabellaContenitori[AET])</f>
        <v>TRULLO - MONTE DELLE CAPRE</v>
      </c>
      <c r="C399" s="1" t="str">
        <f>_xlfn.XLOOKUP(A399,[1]!TabellaContenitori[PdR],[1]!TabellaContenitori[Numero civico])</f>
        <v>50</v>
      </c>
      <c r="D399" s="1" t="str">
        <f t="shared" si="12"/>
        <v>TRULLO - MONTE DELLE CAPRE, 50, Roma</v>
      </c>
      <c r="E399" s="1" t="str">
        <f t="shared" si="13"/>
        <v>TRULLO - MONTE DELLE CAPRE</v>
      </c>
      <c r="F399" s="1" t="str">
        <f>_xlfn.XLOOKUP(B399,[1]!Tabella_N_Assi[Indirizzo],[1]!Tabella_N_Assi[Tipo Mezzo Preferenziale],"non trovato")</f>
        <v>non trovato</v>
      </c>
      <c r="G399">
        <f>_xlfn.XLOOKUP(A399,[2]Sheet1!$A:$A,[2]Sheet1!$G:$G,"non trovato")</f>
        <v>41.836390000000002</v>
      </c>
      <c r="H399">
        <f>_xlfn.XLOOKUP(A399,[2]Sheet1!$A:$A,[2]Sheet1!$H:$H,"non trovato")</f>
        <v>12.421317</v>
      </c>
    </row>
    <row r="400" spans="1:8" x14ac:dyDescent="0.25">
      <c r="A400" s="1" t="str">
        <v>500000097865</v>
      </c>
      <c r="B400" s="1" t="str">
        <f>_xlfn.XLOOKUP(A400,[1]!TabellaContenitori[PdR],[1]!TabellaContenitori[AET])</f>
        <v>CORVIALE</v>
      </c>
      <c r="C400" s="1" t="str">
        <f>_xlfn.XLOOKUP(A400,[1]!TabellaContenitori[PdR],[1]!TabellaContenitori[Numero civico])</f>
        <v>741</v>
      </c>
      <c r="D400" s="1" t="str">
        <f t="shared" si="12"/>
        <v>CORVIALE, 741, Roma</v>
      </c>
      <c r="E400" s="1" t="str">
        <f t="shared" si="13"/>
        <v>CORVIALE</v>
      </c>
      <c r="F400" s="1" t="str">
        <f>_xlfn.XLOOKUP(B400,[1]!Tabella_N_Assi[Indirizzo],[1]!Tabella_N_Assi[Tipo Mezzo Preferenziale],"non trovato")</f>
        <v>non trovato</v>
      </c>
      <c r="G400">
        <f>_xlfn.XLOOKUP(A400,[2]Sheet1!$A:$A,[2]Sheet1!$G:$G,"non trovato")</f>
        <v>41.870518400000002</v>
      </c>
      <c r="H400">
        <f>_xlfn.XLOOKUP(A400,[2]Sheet1!$A:$A,[2]Sheet1!$H:$H,"non trovato")</f>
        <v>12.4653882</v>
      </c>
    </row>
    <row r="401" spans="1:8" x14ac:dyDescent="0.25">
      <c r="A401" s="1" t="str">
        <v>500000120339</v>
      </c>
      <c r="B401" s="1" t="str">
        <f>_xlfn.XLOOKUP(A401,[1]!TabellaContenitori[PdR],[1]!TabellaContenitori[AET])</f>
        <v>TRULLO - MONTE DELLE CAPRE</v>
      </c>
      <c r="C401" s="1" t="str">
        <f>_xlfn.XLOOKUP(A401,[1]!TabellaContenitori[PdR],[1]!TabellaContenitori[Numero civico])</f>
        <v>322</v>
      </c>
      <c r="D401" s="1" t="str">
        <f t="shared" si="12"/>
        <v>TRULLO - MONTE DELLE CAPRE, 322, Roma</v>
      </c>
      <c r="E401" s="1" t="str">
        <f t="shared" si="13"/>
        <v>TRULLO - MONTE DELLE CAPRE</v>
      </c>
      <c r="F401" s="1" t="str">
        <f>_xlfn.XLOOKUP(B401,[1]!Tabella_N_Assi[Indirizzo],[1]!Tabella_N_Assi[Tipo Mezzo Preferenziale],"non trovato")</f>
        <v>non trovato</v>
      </c>
      <c r="G401">
        <f>_xlfn.XLOOKUP(A401,[2]Sheet1!$A:$A,[2]Sheet1!$G:$G,"non trovato")</f>
        <v>41.8431517</v>
      </c>
      <c r="H401">
        <f>_xlfn.XLOOKUP(A401,[2]Sheet1!$A:$A,[2]Sheet1!$H:$H,"non trovato")</f>
        <v>12.436747499999999</v>
      </c>
    </row>
    <row r="402" spans="1:8" x14ac:dyDescent="0.25">
      <c r="A402" s="1" t="str">
        <v>500000120329</v>
      </c>
      <c r="B402" s="1" t="str">
        <f>_xlfn.XLOOKUP(A402,[1]!TabellaContenitori[PdR],[1]!TabellaContenitori[AET])</f>
        <v>TRULLO - MONTE DELLE CAPRE</v>
      </c>
      <c r="C402" s="1" t="str">
        <f>_xlfn.XLOOKUP(A402,[1]!TabellaContenitori[PdR],[1]!TabellaContenitori[Numero civico])</f>
        <v>228</v>
      </c>
      <c r="D402" s="1" t="str">
        <f t="shared" si="12"/>
        <v>TRULLO - MONTE DELLE CAPRE, 228, Roma</v>
      </c>
      <c r="E402" s="1" t="str">
        <f t="shared" si="13"/>
        <v>TRULLO - MONTE DELLE CAPRE</v>
      </c>
      <c r="F402" s="1" t="str">
        <f>_xlfn.XLOOKUP(B402,[1]!Tabella_N_Assi[Indirizzo],[1]!Tabella_N_Assi[Tipo Mezzo Preferenziale],"non trovato")</f>
        <v>non trovato</v>
      </c>
      <c r="G402">
        <f>_xlfn.XLOOKUP(A402,[2]Sheet1!$A:$A,[2]Sheet1!$G:$G,"non trovato")</f>
        <v>41.8431517</v>
      </c>
      <c r="H402">
        <f>_xlfn.XLOOKUP(A402,[2]Sheet1!$A:$A,[2]Sheet1!$H:$H,"non trovato")</f>
        <v>12.436747499999999</v>
      </c>
    </row>
    <row r="403" spans="1:8" x14ac:dyDescent="0.25">
      <c r="A403" s="1" t="str">
        <v>500000120348</v>
      </c>
      <c r="B403" s="1" t="str">
        <f>_xlfn.XLOOKUP(A403,[1]!TabellaContenitori[PdR],[1]!TabellaContenitori[AET])</f>
        <v>TRULLO - MONTE DELLE CAPRE</v>
      </c>
      <c r="C403" s="1" t="str">
        <f>_xlfn.XLOOKUP(A403,[1]!TabellaContenitori[PdR],[1]!TabellaContenitori[Numero civico])</f>
        <v>376</v>
      </c>
      <c r="D403" s="1" t="str">
        <f t="shared" si="12"/>
        <v>TRULLO - MONTE DELLE CAPRE, 376, Roma</v>
      </c>
      <c r="E403" s="1" t="str">
        <f t="shared" si="13"/>
        <v>TRULLO - MONTE DELLE CAPRE</v>
      </c>
      <c r="F403" s="1" t="str">
        <f>_xlfn.XLOOKUP(B403,[1]!Tabella_N_Assi[Indirizzo],[1]!Tabella_N_Assi[Tipo Mezzo Preferenziale],"non trovato")</f>
        <v>non trovato</v>
      </c>
      <c r="G403">
        <f>_xlfn.XLOOKUP(A403,[2]Sheet1!$A:$A,[2]Sheet1!$G:$G,"non trovato")</f>
        <v>41.8431517</v>
      </c>
      <c r="H403">
        <f>_xlfn.XLOOKUP(A403,[2]Sheet1!$A:$A,[2]Sheet1!$H:$H,"non trovato")</f>
        <v>12.436747499999999</v>
      </c>
    </row>
    <row r="404" spans="1:8" x14ac:dyDescent="0.25">
      <c r="A404" s="1" t="str">
        <v>500000044259</v>
      </c>
      <c r="B404" s="1" t="str">
        <f>_xlfn.XLOOKUP(A404,[1]!TabellaContenitori[PdR],[1]!TabellaContenitori[AET])</f>
        <v>CASETTA MATTEI</v>
      </c>
      <c r="C404" s="1" t="str">
        <f>_xlfn.XLOOKUP(A404,[1]!TabellaContenitori[PdR],[1]!TabellaContenitori[Numero civico])</f>
        <v>23</v>
      </c>
      <c r="D404" s="1" t="str">
        <f t="shared" si="12"/>
        <v>CASETTA MATTEI, 23, Roma</v>
      </c>
      <c r="E404" s="1" t="str">
        <f t="shared" si="13"/>
        <v>CASETTA MATTEI</v>
      </c>
      <c r="F404" s="1" t="str">
        <f>_xlfn.XLOOKUP(B404,[1]!Tabella_N_Assi[Indirizzo],[1]!Tabella_N_Assi[Tipo Mezzo Preferenziale],"non trovato")</f>
        <v>non trovato</v>
      </c>
      <c r="G404">
        <f>_xlfn.XLOOKUP(A404,[2]Sheet1!$A:$A,[2]Sheet1!$G:$G,"non trovato")</f>
        <v>41.858250499999997</v>
      </c>
      <c r="H404">
        <f>_xlfn.XLOOKUP(A404,[2]Sheet1!$A:$A,[2]Sheet1!$H:$H,"non trovato")</f>
        <v>12.417792800000001</v>
      </c>
    </row>
    <row r="405" spans="1:8" x14ac:dyDescent="0.25">
      <c r="A405" s="1" t="str">
        <v>500000036007</v>
      </c>
      <c r="B405" s="1" t="str">
        <f>_xlfn.XLOOKUP(A405,[1]!TabellaContenitori[PdR],[1]!TabellaContenitori[AET])</f>
        <v>TRULLO - MONTE DELLE CAPRE</v>
      </c>
      <c r="C405" s="1" t="str">
        <f>_xlfn.XLOOKUP(A405,[1]!TabellaContenitori[PdR],[1]!TabellaContenitori[Numero civico])</f>
        <v>40</v>
      </c>
      <c r="D405" s="1" t="str">
        <f t="shared" si="12"/>
        <v>TRULLO - MONTE DELLE CAPRE, 40, Roma</v>
      </c>
      <c r="E405" s="1" t="str">
        <f t="shared" si="13"/>
        <v>TRULLO - MONTE DELLE CAPRE</v>
      </c>
      <c r="F405" s="1" t="str">
        <f>_xlfn.XLOOKUP(B405,[1]!Tabella_N_Assi[Indirizzo],[1]!Tabella_N_Assi[Tipo Mezzo Preferenziale],"non trovato")</f>
        <v>non trovato</v>
      </c>
      <c r="G405">
        <f>_xlfn.XLOOKUP(A405,[2]Sheet1!$A:$A,[2]Sheet1!$G:$G,"non trovato")</f>
        <v>41.843478599999997</v>
      </c>
      <c r="H405">
        <f>_xlfn.XLOOKUP(A405,[2]Sheet1!$A:$A,[2]Sheet1!$H:$H,"non trovato")</f>
        <v>12.4276889</v>
      </c>
    </row>
    <row r="406" spans="1:8" x14ac:dyDescent="0.25">
      <c r="A406" s="1" t="str">
        <v>500000139968</v>
      </c>
      <c r="B406" s="1" t="str">
        <f>_xlfn.XLOOKUP(A406,[1]!TabellaContenitori[PdR],[1]!TabellaContenitori[AET])</f>
        <v>CORVIALE</v>
      </c>
      <c r="C406" s="1" t="str">
        <f>_xlfn.XLOOKUP(A406,[1]!TabellaContenitori[PdR],[1]!TabellaContenitori[Numero civico])</f>
        <v>57</v>
      </c>
      <c r="D406" s="1" t="str">
        <f t="shared" si="12"/>
        <v>CORVIALE, 57, Roma</v>
      </c>
      <c r="E406" s="1" t="str">
        <f t="shared" si="13"/>
        <v>CORVIALE</v>
      </c>
      <c r="F406" s="1" t="str">
        <f>_xlfn.XLOOKUP(B406,[1]!Tabella_N_Assi[Indirizzo],[1]!Tabella_N_Assi[Tipo Mezzo Preferenziale],"non trovato")</f>
        <v>non trovato</v>
      </c>
      <c r="G406">
        <f>_xlfn.XLOOKUP(A406,[2]Sheet1!$A:$A,[2]Sheet1!$G:$G,"non trovato")</f>
        <v>41.851610000000001</v>
      </c>
      <c r="H406">
        <f>_xlfn.XLOOKUP(A406,[2]Sheet1!$A:$A,[2]Sheet1!$H:$H,"non trovato")</f>
        <v>12.414733699999999</v>
      </c>
    </row>
    <row r="407" spans="1:8" x14ac:dyDescent="0.25">
      <c r="A407" s="1" t="str">
        <v>500000097881</v>
      </c>
      <c r="B407" s="1" t="str">
        <f>_xlfn.XLOOKUP(A407,[1]!TabellaContenitori[PdR],[1]!TabellaContenitori[AET])</f>
        <v>CORVIALE</v>
      </c>
      <c r="C407" s="1" t="str">
        <f>_xlfn.XLOOKUP(A407,[1]!TabellaContenitori[PdR],[1]!TabellaContenitori[Numero civico])</f>
        <v>807</v>
      </c>
      <c r="D407" s="1" t="str">
        <f t="shared" si="12"/>
        <v>CORVIALE, 807, Roma</v>
      </c>
      <c r="E407" s="1" t="str">
        <f t="shared" si="13"/>
        <v>CORVIALE</v>
      </c>
      <c r="F407" s="1" t="str">
        <f>_xlfn.XLOOKUP(B407,[1]!Tabella_N_Assi[Indirizzo],[1]!Tabella_N_Assi[Tipo Mezzo Preferenziale],"non trovato")</f>
        <v>non trovato</v>
      </c>
      <c r="G407">
        <f>_xlfn.XLOOKUP(A407,[2]Sheet1!$A:$A,[2]Sheet1!$G:$G,"non trovato")</f>
        <v>41.870518400000002</v>
      </c>
      <c r="H407">
        <f>_xlfn.XLOOKUP(A407,[2]Sheet1!$A:$A,[2]Sheet1!$H:$H,"non trovato")</f>
        <v>12.4653882</v>
      </c>
    </row>
    <row r="408" spans="1:8" x14ac:dyDescent="0.25">
      <c r="A408" s="1" t="str">
        <v>500000097882</v>
      </c>
      <c r="B408" s="1" t="str">
        <f>_xlfn.XLOOKUP(A408,[1]!TabellaContenitori[PdR],[1]!TabellaContenitori[AET])</f>
        <v>CORVIALE</v>
      </c>
      <c r="C408" s="1" t="str">
        <f>_xlfn.XLOOKUP(A408,[1]!TabellaContenitori[PdR],[1]!TabellaContenitori[Numero civico])</f>
        <v>811</v>
      </c>
      <c r="D408" s="1" t="str">
        <f t="shared" si="12"/>
        <v>CORVIALE, 811, Roma</v>
      </c>
      <c r="E408" s="1" t="str">
        <f t="shared" si="13"/>
        <v>CORVIALE</v>
      </c>
      <c r="F408" s="1" t="str">
        <f>_xlfn.XLOOKUP(B408,[1]!Tabella_N_Assi[Indirizzo],[1]!Tabella_N_Assi[Tipo Mezzo Preferenziale],"non trovato")</f>
        <v>non trovato</v>
      </c>
      <c r="G408">
        <f>_xlfn.XLOOKUP(A408,[2]Sheet1!$A:$A,[2]Sheet1!$G:$G,"non trovato")</f>
        <v>41.870518400000002</v>
      </c>
      <c r="H408">
        <f>_xlfn.XLOOKUP(A408,[2]Sheet1!$A:$A,[2]Sheet1!$H:$H,"non trovato")</f>
        <v>12.4653882</v>
      </c>
    </row>
    <row r="409" spans="1:8" x14ac:dyDescent="0.25">
      <c r="A409" s="1" t="str">
        <v>500000096251</v>
      </c>
      <c r="B409" s="1" t="str">
        <f>_xlfn.XLOOKUP(A409,[1]!TabellaContenitori[PdR],[1]!TabellaContenitori[AET])</f>
        <v>CORVIALE</v>
      </c>
      <c r="C409" s="1" t="str">
        <f>_xlfn.XLOOKUP(A409,[1]!TabellaContenitori[PdR],[1]!TabellaContenitori[Numero civico])</f>
        <v>28</v>
      </c>
      <c r="D409" s="1" t="str">
        <f t="shared" si="12"/>
        <v>CORVIALE, 28, Roma</v>
      </c>
      <c r="E409" s="1" t="str">
        <f t="shared" si="13"/>
        <v>CORVIALE</v>
      </c>
      <c r="F409" s="1" t="str">
        <f>_xlfn.XLOOKUP(B409,[1]!Tabella_N_Assi[Indirizzo],[1]!Tabella_N_Assi[Tipo Mezzo Preferenziale],"non trovato")</f>
        <v>non trovato</v>
      </c>
      <c r="G409">
        <f>_xlfn.XLOOKUP(A409,[2]Sheet1!$A:$A,[2]Sheet1!$G:$G,"non trovato")</f>
        <v>41.852738500000001</v>
      </c>
      <c r="H409">
        <f>_xlfn.XLOOKUP(A409,[2]Sheet1!$A:$A,[2]Sheet1!$H:$H,"non trovato")</f>
        <v>12.4131214</v>
      </c>
    </row>
    <row r="410" spans="1:8" x14ac:dyDescent="0.25">
      <c r="A410" s="1" t="str">
        <v>500000173020</v>
      </c>
      <c r="B410" s="1" t="str">
        <f>_xlfn.XLOOKUP(A410,[1]!TabellaContenitori[PdR],[1]!TabellaContenitori[AET])</f>
        <v>PONTE GALERIA - PIANA DEL SOL</v>
      </c>
      <c r="C410" s="1" t="str">
        <f>_xlfn.XLOOKUP(A410,[1]!TabellaContenitori[PdR],[1]!TabellaContenitori[Numero civico])</f>
        <v>42</v>
      </c>
      <c r="D410" s="1" t="str">
        <f t="shared" si="12"/>
        <v>PONTE GALERIA - PIANA DEL SOL, 42, Roma</v>
      </c>
      <c r="E410" s="1" t="str">
        <f t="shared" si="13"/>
        <v>PONTE GALERIA - PIANA DEL SOL</v>
      </c>
      <c r="F410" s="1" t="str">
        <f>_xlfn.XLOOKUP(B410,[1]!Tabella_N_Assi[Indirizzo],[1]!Tabella_N_Assi[Tipo Mezzo Preferenziale],"non trovato")</f>
        <v>non trovato</v>
      </c>
      <c r="G410">
        <f>_xlfn.XLOOKUP(A410,[2]Sheet1!$A:$A,[2]Sheet1!$G:$G,"non trovato")</f>
        <v>41.828956900000001</v>
      </c>
      <c r="H410">
        <f>_xlfn.XLOOKUP(A410,[2]Sheet1!$A:$A,[2]Sheet1!$H:$H,"non trovato")</f>
        <v>12.3935312</v>
      </c>
    </row>
    <row r="411" spans="1:8" x14ac:dyDescent="0.25">
      <c r="A411" s="1" t="str">
        <v>500000173020</v>
      </c>
      <c r="B411" s="1" t="str">
        <f>_xlfn.XLOOKUP(A411,[1]!TabellaContenitori[PdR],[1]!TabellaContenitori[AET])</f>
        <v>PONTE GALERIA - PIANA DEL SOL</v>
      </c>
      <c r="C411" s="1" t="str">
        <f>_xlfn.XLOOKUP(A411,[1]!TabellaContenitori[PdR],[1]!TabellaContenitori[Numero civico])</f>
        <v>42</v>
      </c>
      <c r="D411" s="1" t="str">
        <f t="shared" si="12"/>
        <v>PONTE GALERIA - PIANA DEL SOL, 42, Roma</v>
      </c>
      <c r="E411" s="1" t="str">
        <f t="shared" si="13"/>
        <v>PONTE GALERIA - PIANA DEL SOL</v>
      </c>
      <c r="F411" s="1" t="str">
        <f>_xlfn.XLOOKUP(B411,[1]!Tabella_N_Assi[Indirizzo],[1]!Tabella_N_Assi[Tipo Mezzo Preferenziale],"non trovato")</f>
        <v>non trovato</v>
      </c>
      <c r="G411">
        <f>_xlfn.XLOOKUP(A411,[2]Sheet1!$A:$A,[2]Sheet1!$G:$G,"non trovato")</f>
        <v>41.828956900000001</v>
      </c>
      <c r="H411">
        <f>_xlfn.XLOOKUP(A411,[2]Sheet1!$A:$A,[2]Sheet1!$H:$H,"non trovato")</f>
        <v>12.3935312</v>
      </c>
    </row>
    <row r="412" spans="1:8" x14ac:dyDescent="0.25">
      <c r="A412" s="1" t="str">
        <v>500000205674</v>
      </c>
      <c r="B412" s="1" t="str">
        <f>_xlfn.XLOOKUP(A412,[1]!TabellaContenitori[PdR],[1]!TabellaContenitori[AET])</f>
        <v>PORTUENSE</v>
      </c>
      <c r="C412" s="1" t="str">
        <f>_xlfn.XLOOKUP(A412,[1]!TabellaContenitori[PdR],[1]!TabellaContenitori[Numero civico])</f>
        <v>333</v>
      </c>
      <c r="D412" s="1" t="str">
        <f t="shared" si="12"/>
        <v>PORTUENSE, 333, Roma</v>
      </c>
      <c r="E412" s="1" t="str">
        <f t="shared" si="13"/>
        <v>PORTUENSE</v>
      </c>
      <c r="F412" s="1" t="str">
        <f>_xlfn.XLOOKUP(B412,[1]!Tabella_N_Assi[Indirizzo],[1]!Tabella_N_Assi[Tipo Mezzo Preferenziale],"non trovato")</f>
        <v>non trovato</v>
      </c>
      <c r="G412">
        <f>_xlfn.XLOOKUP(A412,[2]Sheet1!$A:$A,[2]Sheet1!$G:$G,"non trovato")</f>
        <v>41.870518400000002</v>
      </c>
      <c r="H412">
        <f>_xlfn.XLOOKUP(A412,[2]Sheet1!$A:$A,[2]Sheet1!$H:$H,"non trovato")</f>
        <v>12.4653882</v>
      </c>
    </row>
    <row r="413" spans="1:8" x14ac:dyDescent="0.25">
      <c r="A413" s="1" t="str">
        <v>500000068673</v>
      </c>
      <c r="B413" s="1" t="str">
        <f>_xlfn.XLOOKUP(A413,[1]!TabellaContenitori[PdR],[1]!TabellaContenitori[AET])</f>
        <v>VIGNA PIA</v>
      </c>
      <c r="C413" s="1" t="str">
        <f>_xlfn.XLOOKUP(A413,[1]!TabellaContenitori[PdR],[1]!TabellaContenitori[Numero civico])</f>
        <v>99</v>
      </c>
      <c r="D413" s="1" t="str">
        <f t="shared" si="12"/>
        <v>VIGNA PIA, 99, Roma</v>
      </c>
      <c r="E413" s="1" t="str">
        <f t="shared" si="13"/>
        <v>VIGNA PIA</v>
      </c>
      <c r="F413" s="1" t="str">
        <f>_xlfn.XLOOKUP(B413,[1]!Tabella_N_Assi[Indirizzo],[1]!Tabella_N_Assi[Tipo Mezzo Preferenziale],"non trovato")</f>
        <v>non trovato</v>
      </c>
      <c r="G413">
        <f>_xlfn.XLOOKUP(A413,[2]Sheet1!$A:$A,[2]Sheet1!$G:$G,"non trovato")</f>
        <v>41.861395709999002</v>
      </c>
      <c r="H413">
        <f>_xlfn.XLOOKUP(A413,[2]Sheet1!$A:$A,[2]Sheet1!$H:$H,"non trovato")</f>
        <v>12.458134250000001</v>
      </c>
    </row>
    <row r="414" spans="1:8" x14ac:dyDescent="0.25">
      <c r="A414" s="1" t="str">
        <v>500000067765</v>
      </c>
      <c r="B414" s="1" t="str">
        <f>_xlfn.XLOOKUP(A414,[1]!TabellaContenitori[PdR],[1]!TabellaContenitori[AET])</f>
        <v>PORTUENSE</v>
      </c>
      <c r="C414" s="1" t="str">
        <f>_xlfn.XLOOKUP(A414,[1]!TabellaContenitori[PdR],[1]!TabellaContenitori[Numero civico])</f>
        <v>30</v>
      </c>
      <c r="D414" s="1" t="str">
        <f t="shared" si="12"/>
        <v>PORTUENSE, 30, Roma</v>
      </c>
      <c r="E414" s="1" t="str">
        <f t="shared" si="13"/>
        <v>PORTUENSE</v>
      </c>
      <c r="F414" s="1" t="str">
        <f>_xlfn.XLOOKUP(B414,[1]!Tabella_N_Assi[Indirizzo],[1]!Tabella_N_Assi[Tipo Mezzo Preferenziale],"non trovato")</f>
        <v>non trovato</v>
      </c>
      <c r="G414">
        <f>_xlfn.XLOOKUP(A414,[2]Sheet1!$A:$A,[2]Sheet1!$G:$G,"non trovato")</f>
        <v>41.870566699999998</v>
      </c>
      <c r="H414">
        <f>_xlfn.XLOOKUP(A414,[2]Sheet1!$A:$A,[2]Sheet1!$H:$H,"non trovato")</f>
        <v>12.4634237</v>
      </c>
    </row>
    <row r="415" spans="1:8" x14ac:dyDescent="0.25">
      <c r="A415" s="1" t="str">
        <v>500000150364</v>
      </c>
      <c r="B415" s="1" t="str">
        <f>_xlfn.XLOOKUP(A415,[1]!TabellaContenitori[PdR],[1]!TabellaContenitori[AET])</f>
        <v>CORVIALE</v>
      </c>
      <c r="C415" s="1" t="str">
        <f>_xlfn.XLOOKUP(A415,[1]!TabellaContenitori[PdR],[1]!TabellaContenitori[Numero civico])</f>
        <v>99999</v>
      </c>
      <c r="D415" s="1" t="str">
        <f t="shared" si="12"/>
        <v>CORVIALE, 99999, Roma</v>
      </c>
      <c r="E415" s="1" t="str">
        <f t="shared" si="13"/>
        <v>CORVIALE</v>
      </c>
      <c r="F415" s="1" t="str">
        <f>_xlfn.XLOOKUP(B415,[1]!Tabella_N_Assi[Indirizzo],[1]!Tabella_N_Assi[Tipo Mezzo Preferenziale],"non trovato")</f>
        <v>non trovato</v>
      </c>
      <c r="G415">
        <f>_xlfn.XLOOKUP(A415,[2]Sheet1!$A:$A,[2]Sheet1!$G:$G,"non trovato")</f>
        <v>41.846993640000001</v>
      </c>
      <c r="H415">
        <f>_xlfn.XLOOKUP(A415,[2]Sheet1!$A:$A,[2]Sheet1!$H:$H,"non trovato")</f>
        <v>12.41401291</v>
      </c>
    </row>
    <row r="416" spans="1:8" x14ac:dyDescent="0.25">
      <c r="A416" s="1" t="str">
        <v>500000265377</v>
      </c>
      <c r="B416" s="1" t="str">
        <f>_xlfn.XLOOKUP(A416,[1]!TabellaContenitori[PdR],[1]!TabellaContenitori[AET])</f>
        <v>TRULLO - MONTE CUCCO</v>
      </c>
      <c r="C416" s="1" t="str">
        <f>_xlfn.XLOOKUP(A416,[1]!TabellaContenitori[PdR],[1]!TabellaContenitori[Numero civico])</f>
        <v>109</v>
      </c>
      <c r="D416" s="1" t="str">
        <f t="shared" si="12"/>
        <v>TRULLO - MONTE CUCCO, 109, Roma</v>
      </c>
      <c r="E416" s="1" t="str">
        <f t="shared" si="13"/>
        <v>TRULLO - MONTE CUCCO</v>
      </c>
      <c r="F416" s="1" t="str">
        <f>_xlfn.XLOOKUP(B416,[1]!Tabella_N_Assi[Indirizzo],[1]!Tabella_N_Assi[Tipo Mezzo Preferenziale],"non trovato")</f>
        <v>non trovato</v>
      </c>
      <c r="G416">
        <f>_xlfn.XLOOKUP(A416,[2]Sheet1!$A:$A,[2]Sheet1!$G:$G,"non trovato")</f>
        <v>41.850358300000003</v>
      </c>
      <c r="H416">
        <f>_xlfn.XLOOKUP(A416,[2]Sheet1!$A:$A,[2]Sheet1!$H:$H,"non trovato")</f>
        <v>12.4457421</v>
      </c>
    </row>
    <row r="417" spans="1:8" x14ac:dyDescent="0.25">
      <c r="A417" s="1" t="str">
        <v>500000069436</v>
      </c>
      <c r="B417" s="1" t="str">
        <f>_xlfn.XLOOKUP(A417,[1]!TabellaContenitori[PdR],[1]!TabellaContenitori[AET])</f>
        <v>TRULLO - MONTE CUCCO</v>
      </c>
      <c r="C417" s="1" t="str">
        <f>_xlfn.XLOOKUP(A417,[1]!TabellaContenitori[PdR],[1]!TabellaContenitori[Numero civico])</f>
        <v>134</v>
      </c>
      <c r="D417" s="1" t="str">
        <f t="shared" si="12"/>
        <v>TRULLO - MONTE CUCCO, 134, Roma</v>
      </c>
      <c r="E417" s="1" t="str">
        <f t="shared" si="13"/>
        <v>TRULLO - MONTE CUCCO</v>
      </c>
      <c r="F417" s="1" t="str">
        <f>_xlfn.XLOOKUP(B417,[1]!Tabella_N_Assi[Indirizzo],[1]!Tabella_N_Assi[Tipo Mezzo Preferenziale],"non trovato")</f>
        <v>non trovato</v>
      </c>
      <c r="G417">
        <f>_xlfn.XLOOKUP(A417,[2]Sheet1!$A:$A,[2]Sheet1!$G:$G,"non trovato")</f>
        <v>41.850358300000003</v>
      </c>
      <c r="H417">
        <f>_xlfn.XLOOKUP(A417,[2]Sheet1!$A:$A,[2]Sheet1!$H:$H,"non trovato")</f>
        <v>12.4457421</v>
      </c>
    </row>
    <row r="418" spans="1:8" x14ac:dyDescent="0.25">
      <c r="A418" s="1" t="str">
        <v>500000173016</v>
      </c>
      <c r="B418" s="1" t="str">
        <f>_xlfn.XLOOKUP(A418,[1]!TabellaContenitori[PdR],[1]!TabellaContenitori[AET])</f>
        <v>PONTE GALERIA - PIANA DEL SOL</v>
      </c>
      <c r="C418" s="1" t="str">
        <f>_xlfn.XLOOKUP(A418,[1]!TabellaContenitori[PdR],[1]!TabellaContenitori[Numero civico])</f>
        <v>4</v>
      </c>
      <c r="D418" s="1" t="str">
        <f t="shared" si="12"/>
        <v>PONTE GALERIA - PIANA DEL SOL, 4, Roma</v>
      </c>
      <c r="E418" s="1" t="str">
        <f t="shared" si="13"/>
        <v>PONTE GALERIA - PIANA DEL SOL</v>
      </c>
      <c r="F418" s="1" t="str">
        <f>_xlfn.XLOOKUP(B418,[1]!Tabella_N_Assi[Indirizzo],[1]!Tabella_N_Assi[Tipo Mezzo Preferenziale],"non trovato")</f>
        <v>non trovato</v>
      </c>
      <c r="G418">
        <f>_xlfn.XLOOKUP(A418,[2]Sheet1!$A:$A,[2]Sheet1!$G:$G,"non trovato")</f>
        <v>41.829985999999998</v>
      </c>
      <c r="H418">
        <f>_xlfn.XLOOKUP(A418,[2]Sheet1!$A:$A,[2]Sheet1!$H:$H,"non trovato")</f>
        <v>12.3987549</v>
      </c>
    </row>
    <row r="419" spans="1:8" x14ac:dyDescent="0.25">
      <c r="A419" s="1" t="str">
        <v>500000205627</v>
      </c>
      <c r="B419" s="1" t="str">
        <f>_xlfn.XLOOKUP(A419,[1]!TabellaContenitori[PdR],[1]!TabellaContenitori[AET])</f>
        <v>PORTUENSE</v>
      </c>
      <c r="C419" s="1" t="str">
        <f>_xlfn.XLOOKUP(A419,[1]!TabellaContenitori[PdR],[1]!TabellaContenitori[Numero civico])</f>
        <v>351</v>
      </c>
      <c r="D419" s="1" t="str">
        <f t="shared" si="12"/>
        <v>PORTUENSE, 351, Roma</v>
      </c>
      <c r="E419" s="1" t="str">
        <f t="shared" si="13"/>
        <v>PORTUENSE</v>
      </c>
      <c r="F419" s="1" t="str">
        <f>_xlfn.XLOOKUP(B419,[1]!Tabella_N_Assi[Indirizzo],[1]!Tabella_N_Assi[Tipo Mezzo Preferenziale],"non trovato")</f>
        <v>non trovato</v>
      </c>
      <c r="G419">
        <f>_xlfn.XLOOKUP(A419,[2]Sheet1!$A:$A,[2]Sheet1!$G:$G,"non trovato")</f>
        <v>41.870518400000002</v>
      </c>
      <c r="H419">
        <f>_xlfn.XLOOKUP(A419,[2]Sheet1!$A:$A,[2]Sheet1!$H:$H,"non trovato")</f>
        <v>12.4653882</v>
      </c>
    </row>
    <row r="420" spans="1:8" x14ac:dyDescent="0.25">
      <c r="A420" s="1" t="str">
        <v>500000205374</v>
      </c>
      <c r="B420" s="1" t="str">
        <f>_xlfn.XLOOKUP(A420,[1]!TabellaContenitori[PdR],[1]!TabellaContenitori[AET])</f>
        <v>PORTUENSE</v>
      </c>
      <c r="C420" s="1" t="str">
        <f>_xlfn.XLOOKUP(A420,[1]!TabellaContenitori[PdR],[1]!TabellaContenitori[Numero civico])</f>
        <v>357</v>
      </c>
      <c r="D420" s="1" t="str">
        <f t="shared" si="12"/>
        <v>PORTUENSE, 357, Roma</v>
      </c>
      <c r="E420" s="1" t="str">
        <f t="shared" si="13"/>
        <v>PORTUENSE</v>
      </c>
      <c r="F420" s="1" t="str">
        <f>_xlfn.XLOOKUP(B420,[1]!Tabella_N_Assi[Indirizzo],[1]!Tabella_N_Assi[Tipo Mezzo Preferenziale],"non trovato")</f>
        <v>non trovato</v>
      </c>
      <c r="G420">
        <f>_xlfn.XLOOKUP(A420,[2]Sheet1!$A:$A,[2]Sheet1!$G:$G,"non trovato")</f>
        <v>41.870518400000002</v>
      </c>
      <c r="H420">
        <f>_xlfn.XLOOKUP(A420,[2]Sheet1!$A:$A,[2]Sheet1!$H:$H,"non trovato")</f>
        <v>12.4653882</v>
      </c>
    </row>
    <row r="421" spans="1:8" x14ac:dyDescent="0.25">
      <c r="A421" s="1" t="str">
        <v>500000068588</v>
      </c>
      <c r="B421" s="1" t="str">
        <f>_xlfn.XLOOKUP(A421,[1]!TabellaContenitori[PdR],[1]!TabellaContenitori[AET])</f>
        <v>MARCONI</v>
      </c>
      <c r="C421" s="1" t="str">
        <f>_xlfn.XLOOKUP(A421,[1]!TabellaContenitori[PdR],[1]!TabellaContenitori[Numero civico])</f>
        <v>76</v>
      </c>
      <c r="D421" s="1" t="str">
        <f t="shared" si="12"/>
        <v>MARCONI, 76, Roma</v>
      </c>
      <c r="E421" s="1" t="str">
        <f t="shared" si="13"/>
        <v>MARCONI</v>
      </c>
      <c r="F421" s="1" t="str">
        <f>_xlfn.XLOOKUP(B421,[1]!Tabella_N_Assi[Indirizzo],[1]!Tabella_N_Assi[Tipo Mezzo Preferenziale],"non trovato")</f>
        <v>non trovato</v>
      </c>
      <c r="G421">
        <f>_xlfn.XLOOKUP(A421,[2]Sheet1!$A:$A,[2]Sheet1!$G:$G,"non trovato")</f>
        <v>41.867830400000003</v>
      </c>
      <c r="H421">
        <f>_xlfn.XLOOKUP(A421,[2]Sheet1!$A:$A,[2]Sheet1!$H:$H,"non trovato")</f>
        <v>12.468034299999999</v>
      </c>
    </row>
    <row r="422" spans="1:8" x14ac:dyDescent="0.25">
      <c r="A422" s="1" t="str">
        <v>500000094004</v>
      </c>
      <c r="B422" s="1" t="str">
        <f>_xlfn.XLOOKUP(A422,[1]!TabellaContenitori[PdR],[1]!TabellaContenitori[AET])</f>
        <v>FERMI</v>
      </c>
      <c r="C422" s="1" t="str">
        <f>_xlfn.XLOOKUP(A422,[1]!TabellaContenitori[PdR],[1]!TabellaContenitori[Numero civico])</f>
        <v>99999</v>
      </c>
      <c r="D422" s="1" t="str">
        <f t="shared" si="12"/>
        <v>FERMI, 99999, Roma</v>
      </c>
      <c r="E422" s="1" t="str">
        <f t="shared" si="13"/>
        <v>FERMI</v>
      </c>
      <c r="F422" s="1" t="str">
        <f>_xlfn.XLOOKUP(B422,[1]!Tabella_N_Assi[Indirizzo],[1]!Tabella_N_Assi[Tipo Mezzo Preferenziale],"non trovato")</f>
        <v>non trovato</v>
      </c>
      <c r="G422">
        <f>_xlfn.XLOOKUP(A422,[2]Sheet1!$A:$A,[2]Sheet1!$G:$G,"non trovato")</f>
        <v>41.861766099999002</v>
      </c>
      <c r="H422">
        <f>_xlfn.XLOOKUP(A422,[2]Sheet1!$A:$A,[2]Sheet1!$H:$H,"non trovato")</f>
        <v>12.470821000000001</v>
      </c>
    </row>
    <row r="423" spans="1:8" x14ac:dyDescent="0.25">
      <c r="A423" s="1" t="str">
        <v>500000125618</v>
      </c>
      <c r="B423" s="1" t="str">
        <f>_xlfn.XLOOKUP(A423,[1]!TabellaContenitori[PdR],[1]!TabellaContenitori[AET])</f>
        <v>MARCONI</v>
      </c>
      <c r="C423" s="1" t="str">
        <f>_xlfn.XLOOKUP(A423,[1]!TabellaContenitori[PdR],[1]!TabellaContenitori[Numero civico])</f>
        <v>55</v>
      </c>
      <c r="D423" s="1" t="str">
        <f t="shared" si="12"/>
        <v>MARCONI, 55, Roma</v>
      </c>
      <c r="E423" s="1" t="str">
        <f t="shared" si="13"/>
        <v>MARCONI</v>
      </c>
      <c r="F423" s="1" t="str">
        <f>_xlfn.XLOOKUP(B423,[1]!Tabella_N_Assi[Indirizzo],[1]!Tabella_N_Assi[Tipo Mezzo Preferenziale],"non trovato")</f>
        <v>non trovato</v>
      </c>
      <c r="G423">
        <f>_xlfn.XLOOKUP(A423,[2]Sheet1!$A:$A,[2]Sheet1!$G:$G,"non trovato")</f>
        <v>41.862491400000003</v>
      </c>
      <c r="H423">
        <f>_xlfn.XLOOKUP(A423,[2]Sheet1!$A:$A,[2]Sheet1!$H:$H,"non trovato")</f>
        <v>12.4672968</v>
      </c>
    </row>
    <row r="424" spans="1:8" x14ac:dyDescent="0.25">
      <c r="A424" s="1" t="str">
        <v>500000015957</v>
      </c>
      <c r="B424" s="1" t="str">
        <f>_xlfn.XLOOKUP(A424,[1]!TabellaContenitori[PdR],[1]!TabellaContenitori[AET])</f>
        <v>FERMI</v>
      </c>
      <c r="C424" s="1" t="str">
        <f>_xlfn.XLOOKUP(A424,[1]!TabellaContenitori[PdR],[1]!TabellaContenitori[Numero civico])</f>
        <v>6</v>
      </c>
      <c r="D424" s="1" t="str">
        <f t="shared" si="12"/>
        <v>FERMI, 6, Roma</v>
      </c>
      <c r="E424" s="1" t="str">
        <f t="shared" si="13"/>
        <v>FERMI</v>
      </c>
      <c r="F424" s="1" t="str">
        <f>_xlfn.XLOOKUP(B424,[1]!Tabella_N_Assi[Indirizzo],[1]!Tabella_N_Assi[Tipo Mezzo Preferenziale],"non trovato")</f>
        <v>non trovato</v>
      </c>
      <c r="G424">
        <f>_xlfn.XLOOKUP(A424,[2]Sheet1!$A:$A,[2]Sheet1!$G:$G,"non trovato")</f>
        <v>41.8631125</v>
      </c>
      <c r="H424">
        <f>_xlfn.XLOOKUP(A424,[2]Sheet1!$A:$A,[2]Sheet1!$H:$H,"non trovato")</f>
        <v>12.4708924</v>
      </c>
    </row>
    <row r="425" spans="1:8" x14ac:dyDescent="0.25">
      <c r="A425" s="1" t="str">
        <v>500000047220</v>
      </c>
      <c r="B425" s="1" t="str">
        <f>_xlfn.XLOOKUP(A425,[1]!TabellaContenitori[PdR],[1]!TabellaContenitori[AET])</f>
        <v>FERMI</v>
      </c>
      <c r="C425" s="1" t="str">
        <f>_xlfn.XLOOKUP(A425,[1]!TabellaContenitori[PdR],[1]!TabellaContenitori[Numero civico])</f>
        <v>99999</v>
      </c>
      <c r="D425" s="1" t="str">
        <f t="shared" si="12"/>
        <v>FERMI, 99999, Roma</v>
      </c>
      <c r="E425" s="1" t="str">
        <f t="shared" si="13"/>
        <v>FERMI</v>
      </c>
      <c r="F425" s="1" t="str">
        <f>_xlfn.XLOOKUP(B425,[1]!Tabella_N_Assi[Indirizzo],[1]!Tabella_N_Assi[Tipo Mezzo Preferenziale],"non trovato")</f>
        <v>non trovato</v>
      </c>
      <c r="G425">
        <f>_xlfn.XLOOKUP(A425,[2]Sheet1!$A:$A,[2]Sheet1!$G:$G,"non trovato")</f>
        <v>41.864749359999003</v>
      </c>
      <c r="H425">
        <f>_xlfn.XLOOKUP(A425,[2]Sheet1!$A:$A,[2]Sheet1!$H:$H,"non trovato")</f>
        <v>12.472901780000001</v>
      </c>
    </row>
    <row r="426" spans="1:8" x14ac:dyDescent="0.25">
      <c r="A426" s="1" t="str">
        <v>500000073552</v>
      </c>
      <c r="B426" s="1" t="str">
        <f>_xlfn.XLOOKUP(A426,[1]!TabellaContenitori[PdR],[1]!TabellaContenitori[AET])</f>
        <v>FERMI</v>
      </c>
      <c r="C426" s="1" t="str">
        <f>_xlfn.XLOOKUP(A426,[1]!TabellaContenitori[PdR],[1]!TabellaContenitori[Numero civico])</f>
        <v>53</v>
      </c>
      <c r="D426" s="1" t="str">
        <f t="shared" si="12"/>
        <v>FERMI, 53, Roma</v>
      </c>
      <c r="E426" s="1" t="str">
        <f t="shared" si="13"/>
        <v>FERMI</v>
      </c>
      <c r="F426" s="1" t="str">
        <f>_xlfn.XLOOKUP(B426,[1]!Tabella_N_Assi[Indirizzo],[1]!Tabella_N_Assi[Tipo Mezzo Preferenziale],"non trovato")</f>
        <v>non trovato</v>
      </c>
      <c r="G426">
        <f>_xlfn.XLOOKUP(A426,[2]Sheet1!$A:$A,[2]Sheet1!$G:$G,"non trovato")</f>
        <v>41.8638707</v>
      </c>
      <c r="H426">
        <f>_xlfn.XLOOKUP(A426,[2]Sheet1!$A:$A,[2]Sheet1!$H:$H,"non trovato")</f>
        <v>12.4733328</v>
      </c>
    </row>
    <row r="427" spans="1:8" x14ac:dyDescent="0.25">
      <c r="A427" s="1" t="str">
        <v>500000047225</v>
      </c>
      <c r="B427" s="1" t="str">
        <f>_xlfn.XLOOKUP(A427,[1]!TabellaContenitori[PdR],[1]!TabellaContenitori[AET])</f>
        <v>FERMI</v>
      </c>
      <c r="C427" s="1" t="str">
        <f>_xlfn.XLOOKUP(A427,[1]!TabellaContenitori[PdR],[1]!TabellaContenitori[Numero civico])</f>
        <v>47</v>
      </c>
      <c r="D427" s="1" t="str">
        <f t="shared" si="12"/>
        <v>FERMI, 47, Roma</v>
      </c>
      <c r="E427" s="1" t="str">
        <f t="shared" si="13"/>
        <v>FERMI</v>
      </c>
      <c r="F427" s="1" t="str">
        <f>_xlfn.XLOOKUP(B427,[1]!Tabella_N_Assi[Indirizzo],[1]!Tabella_N_Assi[Tipo Mezzo Preferenziale],"non trovato")</f>
        <v>non trovato</v>
      </c>
      <c r="G427">
        <f>_xlfn.XLOOKUP(A427,[2]Sheet1!$A:$A,[2]Sheet1!$G:$G,"non trovato")</f>
        <v>41.864571099999999</v>
      </c>
      <c r="H427">
        <f>_xlfn.XLOOKUP(A427,[2]Sheet1!$A:$A,[2]Sheet1!$H:$H,"non trovato")</f>
        <v>12.472239800000001</v>
      </c>
    </row>
    <row r="428" spans="1:8" x14ac:dyDescent="0.25">
      <c r="A428" s="1" t="str">
        <v>500000094009</v>
      </c>
      <c r="B428" s="1" t="str">
        <f>_xlfn.XLOOKUP(A428,[1]!TabellaContenitori[PdR],[1]!TabellaContenitori[AET])</f>
        <v>FERMI</v>
      </c>
      <c r="C428" s="1" t="str">
        <f>_xlfn.XLOOKUP(A428,[1]!TabellaContenitori[PdR],[1]!TabellaContenitori[Numero civico])</f>
        <v>177</v>
      </c>
      <c r="D428" s="1" t="str">
        <f t="shared" si="12"/>
        <v>FERMI, 177, Roma</v>
      </c>
      <c r="E428" s="1" t="str">
        <f t="shared" si="13"/>
        <v>FERMI</v>
      </c>
      <c r="F428" s="1" t="str">
        <f>_xlfn.XLOOKUP(B428,[1]!Tabella_N_Assi[Indirizzo],[1]!Tabella_N_Assi[Tipo Mezzo Preferenziale],"non trovato")</f>
        <v>non trovato</v>
      </c>
      <c r="G428">
        <f>_xlfn.XLOOKUP(A428,[2]Sheet1!$A:$A,[2]Sheet1!$G:$G,"non trovato")</f>
        <v>41.865532999999999</v>
      </c>
      <c r="H428">
        <f>_xlfn.XLOOKUP(A428,[2]Sheet1!$A:$A,[2]Sheet1!$H:$H,"non trovato")</f>
        <v>12.4750234</v>
      </c>
    </row>
    <row r="429" spans="1:8" x14ac:dyDescent="0.25">
      <c r="A429" s="1" t="str">
        <v>500000016457</v>
      </c>
      <c r="B429" s="1" t="str">
        <f>_xlfn.XLOOKUP(A429,[1]!TabellaContenitori[PdR],[1]!TabellaContenitori[AET])</f>
        <v>ODERISI DA GUBBIO</v>
      </c>
      <c r="C429" s="1" t="str">
        <f>_xlfn.XLOOKUP(A429,[1]!TabellaContenitori[PdR],[1]!TabellaContenitori[Numero civico])</f>
        <v>4</v>
      </c>
      <c r="D429" s="1" t="str">
        <f t="shared" si="12"/>
        <v>ODERISI DA GUBBIO, 4, Roma</v>
      </c>
      <c r="E429" s="1" t="str">
        <f t="shared" si="13"/>
        <v>ODERISI DA GUBBIO</v>
      </c>
      <c r="F429" s="1" t="str">
        <f>_xlfn.XLOOKUP(B429,[1]!Tabella_N_Assi[Indirizzo],[1]!Tabella_N_Assi[Tipo Mezzo Preferenziale],"non trovato")</f>
        <v>non trovato</v>
      </c>
      <c r="G429">
        <f>_xlfn.XLOOKUP(A429,[2]Sheet1!$A:$A,[2]Sheet1!$G:$G,"non trovato")</f>
        <v>41.862337599999996</v>
      </c>
      <c r="H429">
        <f>_xlfn.XLOOKUP(A429,[2]Sheet1!$A:$A,[2]Sheet1!$H:$H,"non trovato")</f>
        <v>12.463844</v>
      </c>
    </row>
    <row r="430" spans="1:8" x14ac:dyDescent="0.25">
      <c r="A430" s="1" t="str">
        <v>500000016458</v>
      </c>
      <c r="B430" s="1" t="str">
        <f>_xlfn.XLOOKUP(A430,[1]!TabellaContenitori[PdR],[1]!TabellaContenitori[AET])</f>
        <v>ODERISI DA GUBBIO</v>
      </c>
      <c r="C430" s="1" t="str">
        <f>_xlfn.XLOOKUP(A430,[1]!TabellaContenitori[PdR],[1]!TabellaContenitori[Numero civico])</f>
        <v>17</v>
      </c>
      <c r="D430" s="1" t="str">
        <f t="shared" si="12"/>
        <v>ODERISI DA GUBBIO, 17, Roma</v>
      </c>
      <c r="E430" s="1" t="str">
        <f t="shared" si="13"/>
        <v>ODERISI DA GUBBIO</v>
      </c>
      <c r="F430" s="1" t="str">
        <f>_xlfn.XLOOKUP(B430,[1]!Tabella_N_Assi[Indirizzo],[1]!Tabella_N_Assi[Tipo Mezzo Preferenziale],"non trovato")</f>
        <v>non trovato</v>
      </c>
      <c r="G430">
        <f>_xlfn.XLOOKUP(A430,[2]Sheet1!$A:$A,[2]Sheet1!$G:$G,"non trovato")</f>
        <v>41.862337599999996</v>
      </c>
      <c r="H430">
        <f>_xlfn.XLOOKUP(A430,[2]Sheet1!$A:$A,[2]Sheet1!$H:$H,"non trovato")</f>
        <v>12.463844</v>
      </c>
    </row>
    <row r="431" spans="1:8" x14ac:dyDescent="0.25">
      <c r="A431" s="1" t="str">
        <v>500000087631</v>
      </c>
      <c r="B431" s="1" t="str">
        <f>_xlfn.XLOOKUP(A431,[1]!TabellaContenitori[PdR],[1]!TabellaContenitori[AET])</f>
        <v>ODERISI DA GUBBIO</v>
      </c>
      <c r="C431" s="1" t="str">
        <f>_xlfn.XLOOKUP(A431,[1]!TabellaContenitori[PdR],[1]!TabellaContenitori[Numero civico])</f>
        <v>15</v>
      </c>
      <c r="D431" s="1" t="str">
        <f t="shared" si="12"/>
        <v>ODERISI DA GUBBIO, 15, Roma</v>
      </c>
      <c r="E431" s="1" t="str">
        <f t="shared" si="13"/>
        <v>ODERISI DA GUBBIO</v>
      </c>
      <c r="F431" s="1" t="str">
        <f>_xlfn.XLOOKUP(B431,[1]!Tabella_N_Assi[Indirizzo],[1]!Tabella_N_Assi[Tipo Mezzo Preferenziale],"non trovato")</f>
        <v>non trovato</v>
      </c>
      <c r="G431">
        <f>_xlfn.XLOOKUP(A431,[2]Sheet1!$A:$A,[2]Sheet1!$G:$G,"non trovato")</f>
        <v>41.8635965</v>
      </c>
      <c r="H431">
        <f>_xlfn.XLOOKUP(A431,[2]Sheet1!$A:$A,[2]Sheet1!$H:$H,"non trovato")</f>
        <v>12.464426700000001</v>
      </c>
    </row>
    <row r="432" spans="1:8" x14ac:dyDescent="0.25">
      <c r="A432" s="1" t="str">
        <v>500000087642</v>
      </c>
      <c r="B432" s="1" t="str">
        <f>_xlfn.XLOOKUP(A432,[1]!TabellaContenitori[PdR],[1]!TabellaContenitori[AET])</f>
        <v>ODERISI DA GUBBIO</v>
      </c>
      <c r="C432" s="1" t="str">
        <f>_xlfn.XLOOKUP(A432,[1]!TabellaContenitori[PdR],[1]!TabellaContenitori[Numero civico])</f>
        <v>59</v>
      </c>
      <c r="D432" s="1" t="str">
        <f t="shared" si="12"/>
        <v>ODERISI DA GUBBIO, 59, Roma</v>
      </c>
      <c r="E432" s="1" t="str">
        <f t="shared" si="13"/>
        <v>ODERISI DA GUBBIO</v>
      </c>
      <c r="F432" s="1" t="str">
        <f>_xlfn.XLOOKUP(B432,[1]!Tabella_N_Assi[Indirizzo],[1]!Tabella_N_Assi[Tipo Mezzo Preferenziale],"non trovato")</f>
        <v>non trovato</v>
      </c>
      <c r="G432">
        <f>_xlfn.XLOOKUP(A432,[2]Sheet1!$A:$A,[2]Sheet1!$G:$G,"non trovato")</f>
        <v>41.8635965</v>
      </c>
      <c r="H432">
        <f>_xlfn.XLOOKUP(A432,[2]Sheet1!$A:$A,[2]Sheet1!$H:$H,"non trovato")</f>
        <v>12.464426700000001</v>
      </c>
    </row>
    <row r="433" spans="1:8" x14ac:dyDescent="0.25">
      <c r="A433" s="1" t="str">
        <v>500000087648</v>
      </c>
      <c r="B433" s="1" t="str">
        <f>_xlfn.XLOOKUP(A433,[1]!TabellaContenitori[PdR],[1]!TabellaContenitori[AET])</f>
        <v>ODERISI DA GUBBIO</v>
      </c>
      <c r="C433" s="1" t="str">
        <f>_xlfn.XLOOKUP(A433,[1]!TabellaContenitori[PdR],[1]!TabellaContenitori[Numero civico])</f>
        <v>137</v>
      </c>
      <c r="D433" s="1" t="str">
        <f t="shared" si="12"/>
        <v>ODERISI DA GUBBIO, 137, Roma</v>
      </c>
      <c r="E433" s="1" t="str">
        <f t="shared" si="13"/>
        <v>ODERISI DA GUBBIO</v>
      </c>
      <c r="F433" s="1" t="str">
        <f>_xlfn.XLOOKUP(B433,[1]!Tabella_N_Assi[Indirizzo],[1]!Tabella_N_Assi[Tipo Mezzo Preferenziale],"non trovato")</f>
        <v>non trovato</v>
      </c>
      <c r="G433">
        <f>_xlfn.XLOOKUP(A433,[2]Sheet1!$A:$A,[2]Sheet1!$G:$G,"non trovato")</f>
        <v>41.8635965</v>
      </c>
      <c r="H433">
        <f>_xlfn.XLOOKUP(A433,[2]Sheet1!$A:$A,[2]Sheet1!$H:$H,"non trovato")</f>
        <v>12.464426700000001</v>
      </c>
    </row>
    <row r="434" spans="1:8" x14ac:dyDescent="0.25">
      <c r="A434" s="1" t="str">
        <v>500000024169</v>
      </c>
      <c r="B434" s="1" t="str">
        <f>_xlfn.XLOOKUP(A434,[1]!TabellaContenitori[PdR],[1]!TabellaContenitori[AET])</f>
        <v>ODERISI DA GUBBIO</v>
      </c>
      <c r="C434" s="1" t="str">
        <f>_xlfn.XLOOKUP(A434,[1]!TabellaContenitori[PdR],[1]!TabellaContenitori[Numero civico])</f>
        <v>10</v>
      </c>
      <c r="D434" s="1" t="str">
        <f t="shared" si="12"/>
        <v>ODERISI DA GUBBIO, 10, Roma</v>
      </c>
      <c r="E434" s="1" t="str">
        <f t="shared" si="13"/>
        <v>ODERISI DA GUBBIO</v>
      </c>
      <c r="F434" s="1" t="str">
        <f>_xlfn.XLOOKUP(B434,[1]!Tabella_N_Assi[Indirizzo],[1]!Tabella_N_Assi[Tipo Mezzo Preferenziale],"non trovato")</f>
        <v>non trovato</v>
      </c>
      <c r="G434">
        <f>_xlfn.XLOOKUP(A434,[2]Sheet1!$A:$A,[2]Sheet1!$G:$G,"non trovato")</f>
        <v>41.867123999999997</v>
      </c>
      <c r="H434">
        <f>_xlfn.XLOOKUP(A434,[2]Sheet1!$A:$A,[2]Sheet1!$H:$H,"non trovato")</f>
        <v>12.467258899999999</v>
      </c>
    </row>
    <row r="435" spans="1:8" x14ac:dyDescent="0.25">
      <c r="A435" s="1" t="str">
        <v>500000047219</v>
      </c>
      <c r="B435" s="1" t="str">
        <f>_xlfn.XLOOKUP(A435,[1]!TabellaContenitori[PdR],[1]!TabellaContenitori[AET])</f>
        <v>MARCONI</v>
      </c>
      <c r="C435" s="1" t="str">
        <f>_xlfn.XLOOKUP(A435,[1]!TabellaContenitori[PdR],[1]!TabellaContenitori[Numero civico])</f>
        <v>40</v>
      </c>
      <c r="D435" s="1" t="str">
        <f t="shared" si="12"/>
        <v>MARCONI, 40, Roma</v>
      </c>
      <c r="E435" s="1" t="str">
        <f t="shared" si="13"/>
        <v>MARCONI</v>
      </c>
      <c r="F435" s="1" t="str">
        <f>_xlfn.XLOOKUP(B435,[1]!Tabella_N_Assi[Indirizzo],[1]!Tabella_N_Assi[Tipo Mezzo Preferenziale],"non trovato")</f>
        <v>non trovato</v>
      </c>
      <c r="G435">
        <f>_xlfn.XLOOKUP(A435,[2]Sheet1!$A:$A,[2]Sheet1!$G:$G,"non trovato")</f>
        <v>41.864205499999997</v>
      </c>
      <c r="H435">
        <f>_xlfn.XLOOKUP(A435,[2]Sheet1!$A:$A,[2]Sheet1!$H:$H,"non trovato")</f>
        <v>12.4692943</v>
      </c>
    </row>
    <row r="436" spans="1:8" x14ac:dyDescent="0.25">
      <c r="A436" s="1" t="str">
        <v>500000050421</v>
      </c>
      <c r="B436" s="1" t="str">
        <f>_xlfn.XLOOKUP(A436,[1]!TabellaContenitori[PdR],[1]!TabellaContenitori[AET])</f>
        <v>VIGNA PIA</v>
      </c>
      <c r="C436" s="1" t="str">
        <f>_xlfn.XLOOKUP(A436,[1]!TabellaContenitori[PdR],[1]!TabellaContenitori[Numero civico])</f>
        <v>45</v>
      </c>
      <c r="D436" s="1" t="str">
        <f t="shared" si="12"/>
        <v>VIGNA PIA, 45, Roma</v>
      </c>
      <c r="E436" s="1" t="str">
        <f t="shared" si="13"/>
        <v>VIGNA PIA</v>
      </c>
      <c r="F436" s="1" t="str">
        <f>_xlfn.XLOOKUP(B436,[1]!Tabella_N_Assi[Indirizzo],[1]!Tabella_N_Assi[Tipo Mezzo Preferenziale],"non trovato")</f>
        <v>non trovato</v>
      </c>
      <c r="G436">
        <f>_xlfn.XLOOKUP(A436,[2]Sheet1!$A:$A,[2]Sheet1!$G:$G,"non trovato")</f>
        <v>41.860331700000003</v>
      </c>
      <c r="H436">
        <f>_xlfn.XLOOKUP(A436,[2]Sheet1!$A:$A,[2]Sheet1!$H:$H,"non trovato")</f>
        <v>12.4572786</v>
      </c>
    </row>
    <row r="437" spans="1:8" x14ac:dyDescent="0.25">
      <c r="A437" s="1" t="str">
        <v>500000061712</v>
      </c>
      <c r="B437" s="1" t="str">
        <f>_xlfn.XLOOKUP(A437,[1]!TabellaContenitori[PdR],[1]!TabellaContenitori[AET])</f>
        <v>VIGNA PIA</v>
      </c>
      <c r="C437" s="1" t="str">
        <f>_xlfn.XLOOKUP(A437,[1]!TabellaContenitori[PdR],[1]!TabellaContenitori[Numero civico])</f>
        <v>30</v>
      </c>
      <c r="D437" s="1" t="str">
        <f t="shared" si="12"/>
        <v>VIGNA PIA, 30, Roma</v>
      </c>
      <c r="E437" s="1" t="str">
        <f t="shared" si="13"/>
        <v>VIGNA PIA</v>
      </c>
      <c r="F437" s="1" t="str">
        <f>_xlfn.XLOOKUP(B437,[1]!Tabella_N_Assi[Indirizzo],[1]!Tabella_N_Assi[Tipo Mezzo Preferenziale],"non trovato")</f>
        <v>non trovato</v>
      </c>
      <c r="G437">
        <f>_xlfn.XLOOKUP(A437,[2]Sheet1!$A:$A,[2]Sheet1!$G:$G,"non trovato")</f>
        <v>41.8599836</v>
      </c>
      <c r="H437">
        <f>_xlfn.XLOOKUP(A437,[2]Sheet1!$A:$A,[2]Sheet1!$H:$H,"non trovato")</f>
        <v>12.452554900000001</v>
      </c>
    </row>
    <row r="438" spans="1:8" x14ac:dyDescent="0.25">
      <c r="A438" s="1" t="str">
        <v>500000071808</v>
      </c>
      <c r="B438" s="1" t="str">
        <f>_xlfn.XLOOKUP(A438,[1]!TabellaContenitori[PdR],[1]!TabellaContenitori[AET])</f>
        <v>VIGNA PIA</v>
      </c>
      <c r="C438" s="1" t="str">
        <f>_xlfn.XLOOKUP(A438,[1]!TabellaContenitori[PdR],[1]!TabellaContenitori[Numero civico])</f>
        <v>134</v>
      </c>
      <c r="D438" s="1" t="str">
        <f t="shared" si="12"/>
        <v>VIGNA PIA, 134, Roma</v>
      </c>
      <c r="E438" s="1" t="str">
        <f t="shared" si="13"/>
        <v>VIGNA PIA</v>
      </c>
      <c r="F438" s="1" t="str">
        <f>_xlfn.XLOOKUP(B438,[1]!Tabella_N_Assi[Indirizzo],[1]!Tabella_N_Assi[Tipo Mezzo Preferenziale],"non trovato")</f>
        <v>non trovato</v>
      </c>
      <c r="G438">
        <f>_xlfn.XLOOKUP(A438,[2]Sheet1!$A:$A,[2]Sheet1!$G:$G,"non trovato")</f>
        <v>41.863008100000002</v>
      </c>
      <c r="H438">
        <f>_xlfn.XLOOKUP(A438,[2]Sheet1!$A:$A,[2]Sheet1!$H:$H,"non trovato")</f>
        <v>12.459636400000001</v>
      </c>
    </row>
    <row r="439" spans="1:8" x14ac:dyDescent="0.25">
      <c r="A439" s="1" t="str">
        <v>500000094608</v>
      </c>
      <c r="B439" s="1" t="str">
        <f>_xlfn.XLOOKUP(A439,[1]!TabellaContenitori[PdR],[1]!TabellaContenitori[AET])</f>
        <v>FRATTINI</v>
      </c>
      <c r="C439" s="1" t="str">
        <f>_xlfn.XLOOKUP(A439,[1]!TabellaContenitori[PdR],[1]!TabellaContenitori[Numero civico])</f>
        <v>41</v>
      </c>
      <c r="D439" s="1" t="str">
        <f t="shared" si="12"/>
        <v>FRATTINI, 41, Roma</v>
      </c>
      <c r="E439" s="1" t="str">
        <f t="shared" si="13"/>
        <v>FRATTINI</v>
      </c>
      <c r="F439" s="1" t="str">
        <f>_xlfn.XLOOKUP(B439,[1]!Tabella_N_Assi[Indirizzo],[1]!Tabella_N_Assi[Tipo Mezzo Preferenziale],"non trovato")</f>
        <v>non trovato</v>
      </c>
      <c r="G439">
        <f>_xlfn.XLOOKUP(A439,[2]Sheet1!$A:$A,[2]Sheet1!$G:$G,"non trovato")</f>
        <v>41.853891400000002</v>
      </c>
      <c r="H439">
        <f>_xlfn.XLOOKUP(A439,[2]Sheet1!$A:$A,[2]Sheet1!$H:$H,"non trovato")</f>
        <v>12.449409299999999</v>
      </c>
    </row>
    <row r="440" spans="1:8" x14ac:dyDescent="0.25">
      <c r="A440" s="1" t="str">
        <v>500000097779</v>
      </c>
      <c r="B440" s="1" t="str">
        <f>_xlfn.XLOOKUP(A440,[1]!TabellaContenitori[PdR],[1]!TabellaContenitori[AET])</f>
        <v>PORTUENSE</v>
      </c>
      <c r="C440" s="1" t="str">
        <f>_xlfn.XLOOKUP(A440,[1]!TabellaContenitori[PdR],[1]!TabellaContenitori[Numero civico])</f>
        <v>301</v>
      </c>
      <c r="D440" s="1" t="str">
        <f t="shared" si="12"/>
        <v>PORTUENSE, 301, Roma</v>
      </c>
      <c r="E440" s="1" t="str">
        <f t="shared" si="13"/>
        <v>PORTUENSE</v>
      </c>
      <c r="F440" s="1" t="str">
        <f>_xlfn.XLOOKUP(B440,[1]!Tabella_N_Assi[Indirizzo],[1]!Tabella_N_Assi[Tipo Mezzo Preferenziale],"non trovato")</f>
        <v>non trovato</v>
      </c>
      <c r="G440">
        <f>_xlfn.XLOOKUP(A440,[2]Sheet1!$A:$A,[2]Sheet1!$G:$G,"non trovato")</f>
        <v>41.870518400000002</v>
      </c>
      <c r="H440">
        <f>_xlfn.XLOOKUP(A440,[2]Sheet1!$A:$A,[2]Sheet1!$H:$H,"non trovato")</f>
        <v>12.4653882</v>
      </c>
    </row>
    <row r="441" spans="1:8" x14ac:dyDescent="0.25">
      <c r="A441" s="1" t="str">
        <v>500000065785</v>
      </c>
      <c r="B441" s="1" t="str">
        <f>_xlfn.XLOOKUP(A441,[1]!TabellaContenitori[PdR],[1]!TabellaContenitori[AET])</f>
        <v>VIGNA PIA</v>
      </c>
      <c r="C441" s="1" t="str">
        <f>_xlfn.XLOOKUP(A441,[1]!TabellaContenitori[PdR],[1]!TabellaContenitori[Numero civico])</f>
        <v>85</v>
      </c>
      <c r="D441" s="1" t="str">
        <f t="shared" si="12"/>
        <v>VIGNA PIA, 85, Roma</v>
      </c>
      <c r="E441" s="1" t="str">
        <f t="shared" si="13"/>
        <v>VIGNA PIA</v>
      </c>
      <c r="F441" s="1" t="str">
        <f>_xlfn.XLOOKUP(B441,[1]!Tabella_N_Assi[Indirizzo],[1]!Tabella_N_Assi[Tipo Mezzo Preferenziale],"non trovato")</f>
        <v>non trovato</v>
      </c>
      <c r="G441">
        <f>_xlfn.XLOOKUP(A441,[2]Sheet1!$A:$A,[2]Sheet1!$G:$G,"non trovato")</f>
        <v>41.860600599999998</v>
      </c>
      <c r="H441">
        <f>_xlfn.XLOOKUP(A441,[2]Sheet1!$A:$A,[2]Sheet1!$H:$H,"non trovato")</f>
        <v>12.452281899999999</v>
      </c>
    </row>
    <row r="442" spans="1:8" x14ac:dyDescent="0.25">
      <c r="A442" s="1" t="str">
        <v>500000065783</v>
      </c>
      <c r="B442" s="1" t="str">
        <f>_xlfn.XLOOKUP(A442,[1]!TabellaContenitori[PdR],[1]!TabellaContenitori[AET])</f>
        <v>VIGNA PIA</v>
      </c>
      <c r="C442" s="1" t="str">
        <f>_xlfn.XLOOKUP(A442,[1]!TabellaContenitori[PdR],[1]!TabellaContenitori[Numero civico])</f>
        <v>15</v>
      </c>
      <c r="D442" s="1" t="str">
        <f t="shared" si="12"/>
        <v>VIGNA PIA, 15, Roma</v>
      </c>
      <c r="E442" s="1" t="str">
        <f t="shared" si="13"/>
        <v>VIGNA PIA</v>
      </c>
      <c r="F442" s="1" t="str">
        <f>_xlfn.XLOOKUP(B442,[1]!Tabella_N_Assi[Indirizzo],[1]!Tabella_N_Assi[Tipo Mezzo Preferenziale],"non trovato")</f>
        <v>non trovato</v>
      </c>
      <c r="G442">
        <f>_xlfn.XLOOKUP(A442,[2]Sheet1!$A:$A,[2]Sheet1!$G:$G,"non trovato")</f>
        <v>41.860600599999998</v>
      </c>
      <c r="H442">
        <f>_xlfn.XLOOKUP(A442,[2]Sheet1!$A:$A,[2]Sheet1!$H:$H,"non trovato")</f>
        <v>12.452281899999999</v>
      </c>
    </row>
    <row r="443" spans="1:8" x14ac:dyDescent="0.25">
      <c r="A443" s="1" t="str">
        <v>500000058182</v>
      </c>
      <c r="B443" s="1" t="str">
        <f>_xlfn.XLOOKUP(A443,[1]!TabellaContenitori[PdR],[1]!TabellaContenitori[AET])</f>
        <v>FRATTINI</v>
      </c>
      <c r="C443" s="1" t="str">
        <f>_xlfn.XLOOKUP(A443,[1]!TabellaContenitori[PdR],[1]!TabellaContenitori[Numero civico])</f>
        <v>34</v>
      </c>
      <c r="D443" s="1" t="str">
        <f t="shared" si="12"/>
        <v>FRATTINI, 34, Roma</v>
      </c>
      <c r="E443" s="1" t="str">
        <f t="shared" si="13"/>
        <v>FRATTINI</v>
      </c>
      <c r="F443" s="1" t="str">
        <f>_xlfn.XLOOKUP(B443,[1]!Tabella_N_Assi[Indirizzo],[1]!Tabella_N_Assi[Tipo Mezzo Preferenziale],"non trovato")</f>
        <v>non trovato</v>
      </c>
      <c r="G443">
        <f>_xlfn.XLOOKUP(A443,[2]Sheet1!$A:$A,[2]Sheet1!$G:$G,"non trovato")</f>
        <v>41.855755100000003</v>
      </c>
      <c r="H443">
        <f>_xlfn.XLOOKUP(A443,[2]Sheet1!$A:$A,[2]Sheet1!$H:$H,"non trovato")</f>
        <v>12.4461976</v>
      </c>
    </row>
    <row r="444" spans="1:8" x14ac:dyDescent="0.25">
      <c r="A444" s="1" t="str">
        <v>500000099778</v>
      </c>
      <c r="B444" s="1" t="str">
        <f>_xlfn.XLOOKUP(A444,[1]!TabellaContenitori[PdR],[1]!TabellaContenitori[AET])</f>
        <v>FRATTINI</v>
      </c>
      <c r="C444" s="1" t="str">
        <f>_xlfn.XLOOKUP(A444,[1]!TabellaContenitori[PdR],[1]!TabellaContenitori[Numero civico])</f>
        <v>81</v>
      </c>
      <c r="D444" s="1" t="str">
        <f t="shared" si="12"/>
        <v>FRATTINI, 81, Roma</v>
      </c>
      <c r="E444" s="1" t="str">
        <f t="shared" si="13"/>
        <v>FRATTINI</v>
      </c>
      <c r="F444" s="1" t="str">
        <f>_xlfn.XLOOKUP(B444,[1]!Tabella_N_Assi[Indirizzo],[1]!Tabella_N_Assi[Tipo Mezzo Preferenziale],"non trovato")</f>
        <v>non trovato</v>
      </c>
      <c r="G444">
        <f>_xlfn.XLOOKUP(A444,[2]Sheet1!$A:$A,[2]Sheet1!$G:$G,"non trovato")</f>
        <v>41.855813499999996</v>
      </c>
      <c r="H444">
        <f>_xlfn.XLOOKUP(A444,[2]Sheet1!$A:$A,[2]Sheet1!$H:$H,"non trovato")</f>
        <v>12.450601900000001</v>
      </c>
    </row>
    <row r="445" spans="1:8" x14ac:dyDescent="0.25">
      <c r="A445" s="1" t="str">
        <v>500000056296</v>
      </c>
      <c r="B445" s="1" t="str">
        <f>_xlfn.XLOOKUP(A445,[1]!TabellaContenitori[PdR],[1]!TabellaContenitori[AET])</f>
        <v>PORTUENSE</v>
      </c>
      <c r="C445" s="1" t="str">
        <f>_xlfn.XLOOKUP(A445,[1]!TabellaContenitori[PdR],[1]!TabellaContenitori[Numero civico])</f>
        <v>12</v>
      </c>
      <c r="D445" s="1" t="str">
        <f t="shared" si="12"/>
        <v>PORTUENSE, 12, Roma</v>
      </c>
      <c r="E445" s="1" t="str">
        <f t="shared" si="13"/>
        <v>PORTUENSE</v>
      </c>
      <c r="F445" s="1" t="str">
        <f>_xlfn.XLOOKUP(B445,[1]!Tabella_N_Assi[Indirizzo],[1]!Tabella_N_Assi[Tipo Mezzo Preferenziale],"non trovato")</f>
        <v>non trovato</v>
      </c>
      <c r="G445">
        <f>_xlfn.XLOOKUP(A445,[2]Sheet1!$A:$A,[2]Sheet1!$G:$G,"non trovato")</f>
        <v>41.858873600000003</v>
      </c>
      <c r="H445">
        <f>_xlfn.XLOOKUP(A445,[2]Sheet1!$A:$A,[2]Sheet1!$H:$H,"non trovato")</f>
        <v>12.4541868</v>
      </c>
    </row>
    <row r="446" spans="1:8" x14ac:dyDescent="0.25">
      <c r="A446" s="1" t="str">
        <v>500000100618</v>
      </c>
      <c r="B446" s="1" t="str">
        <f>_xlfn.XLOOKUP(A446,[1]!TabellaContenitori[PdR],[1]!TabellaContenitori[AET])</f>
        <v>PORTUENSE</v>
      </c>
      <c r="C446" s="1" t="str">
        <f>_xlfn.XLOOKUP(A446,[1]!TabellaContenitori[PdR],[1]!TabellaContenitori[Numero civico])</f>
        <v>162</v>
      </c>
      <c r="D446" s="1" t="str">
        <f t="shared" si="12"/>
        <v>PORTUENSE, 162, Roma</v>
      </c>
      <c r="E446" s="1" t="str">
        <f t="shared" si="13"/>
        <v>PORTUENSE</v>
      </c>
      <c r="F446" s="1" t="str">
        <f>_xlfn.XLOOKUP(B446,[1]!Tabella_N_Assi[Indirizzo],[1]!Tabella_N_Assi[Tipo Mezzo Preferenziale],"non trovato")</f>
        <v>non trovato</v>
      </c>
      <c r="G446">
        <f>_xlfn.XLOOKUP(A446,[2]Sheet1!$A:$A,[2]Sheet1!$G:$G,"non trovato")</f>
        <v>41.867226500000001</v>
      </c>
      <c r="H446">
        <f>_xlfn.XLOOKUP(A446,[2]Sheet1!$A:$A,[2]Sheet1!$H:$H,"non trovato")</f>
        <v>12.4627888</v>
      </c>
    </row>
    <row r="447" spans="1:8" x14ac:dyDescent="0.25">
      <c r="A447" s="1" t="str">
        <v>500000015822</v>
      </c>
      <c r="B447" s="1" t="str">
        <f>_xlfn.XLOOKUP(A447,[1]!TabellaContenitori[PdR],[1]!TabellaContenitori[AET])</f>
        <v>VIGNA PIA</v>
      </c>
      <c r="C447" s="1" t="str">
        <f>_xlfn.XLOOKUP(A447,[1]!TabellaContenitori[PdR],[1]!TabellaContenitori[Numero civico])</f>
        <v>4</v>
      </c>
      <c r="D447" s="1" t="str">
        <f t="shared" si="12"/>
        <v>VIGNA PIA, 4, Roma</v>
      </c>
      <c r="E447" s="1" t="str">
        <f t="shared" si="13"/>
        <v>VIGNA PIA</v>
      </c>
      <c r="F447" s="1" t="str">
        <f>_xlfn.XLOOKUP(B447,[1]!Tabella_N_Assi[Indirizzo],[1]!Tabella_N_Assi[Tipo Mezzo Preferenziale],"non trovato")</f>
        <v>non trovato</v>
      </c>
      <c r="G447">
        <f>_xlfn.XLOOKUP(A447,[2]Sheet1!$A:$A,[2]Sheet1!$G:$G,"non trovato")</f>
        <v>41.8604068</v>
      </c>
      <c r="H447">
        <f>_xlfn.XLOOKUP(A447,[2]Sheet1!$A:$A,[2]Sheet1!$H:$H,"non trovato")</f>
        <v>12.455799900000001</v>
      </c>
    </row>
    <row r="448" spans="1:8" x14ac:dyDescent="0.25">
      <c r="A448" s="1" t="str">
        <v>500000068668</v>
      </c>
      <c r="B448" s="1" t="str">
        <f>_xlfn.XLOOKUP(A448,[1]!TabellaContenitori[PdR],[1]!TabellaContenitori[AET])</f>
        <v>VIGNA PIA</v>
      </c>
      <c r="C448" s="1" t="str">
        <f>_xlfn.XLOOKUP(A448,[1]!TabellaContenitori[PdR],[1]!TabellaContenitori[Numero civico])</f>
        <v>41</v>
      </c>
      <c r="D448" s="1" t="str">
        <f t="shared" si="12"/>
        <v>VIGNA PIA, 41, Roma</v>
      </c>
      <c r="E448" s="1" t="str">
        <f t="shared" si="13"/>
        <v>VIGNA PIA</v>
      </c>
      <c r="F448" s="1" t="str">
        <f>_xlfn.XLOOKUP(B448,[1]!Tabella_N_Assi[Indirizzo],[1]!Tabella_N_Assi[Tipo Mezzo Preferenziale],"non trovato")</f>
        <v>non trovato</v>
      </c>
      <c r="G448">
        <f>_xlfn.XLOOKUP(A448,[2]Sheet1!$A:$A,[2]Sheet1!$G:$G,"non trovato")</f>
        <v>41.860209099999999</v>
      </c>
      <c r="H448">
        <f>_xlfn.XLOOKUP(A448,[2]Sheet1!$A:$A,[2]Sheet1!$H:$H,"non trovato")</f>
        <v>12.458497100000001</v>
      </c>
    </row>
    <row r="449" spans="1:8" x14ac:dyDescent="0.25">
      <c r="A449" s="1" t="str">
        <v>500000046696</v>
      </c>
      <c r="B449" s="1" t="str">
        <f>_xlfn.XLOOKUP(A449,[1]!TabellaContenitori[PdR],[1]!TabellaContenitori[AET])</f>
        <v>PORTUENSE</v>
      </c>
      <c r="C449" s="1" t="str">
        <f>_xlfn.XLOOKUP(A449,[1]!TabellaContenitori[PdR],[1]!TabellaContenitori[Numero civico])</f>
        <v>16</v>
      </c>
      <c r="D449" s="1" t="str">
        <f t="shared" si="12"/>
        <v>PORTUENSE, 16, Roma</v>
      </c>
      <c r="E449" s="1" t="str">
        <f t="shared" si="13"/>
        <v>PORTUENSE</v>
      </c>
      <c r="F449" s="1" t="str">
        <f>_xlfn.XLOOKUP(B449,[1]!Tabella_N_Assi[Indirizzo],[1]!Tabella_N_Assi[Tipo Mezzo Preferenziale],"non trovato")</f>
        <v>non trovato</v>
      </c>
      <c r="G449">
        <f>_xlfn.XLOOKUP(A449,[2]Sheet1!$A:$A,[2]Sheet1!$G:$G,"non trovato")</f>
        <v>41.857885899999999</v>
      </c>
      <c r="H449">
        <f>_xlfn.XLOOKUP(A449,[2]Sheet1!$A:$A,[2]Sheet1!$H:$H,"non trovato")</f>
        <v>12.455242200000001</v>
      </c>
    </row>
    <row r="450" spans="1:8" x14ac:dyDescent="0.25">
      <c r="A450" s="1" t="str">
        <v>500000205676</v>
      </c>
      <c r="B450" s="1" t="str">
        <f>_xlfn.XLOOKUP(A450,[1]!TabellaContenitori[PdR],[1]!TabellaContenitori[AET])</f>
        <v>PORTUENSE</v>
      </c>
      <c r="C450" s="1" t="str">
        <f>_xlfn.XLOOKUP(A450,[1]!TabellaContenitori[PdR],[1]!TabellaContenitori[Numero civico])</f>
        <v>475</v>
      </c>
      <c r="D450" s="1" t="str">
        <f t="shared" si="12"/>
        <v>PORTUENSE, 475, Roma</v>
      </c>
      <c r="E450" s="1" t="str">
        <f t="shared" si="13"/>
        <v>PORTUENSE</v>
      </c>
      <c r="F450" s="1" t="str">
        <f>_xlfn.XLOOKUP(B450,[1]!Tabella_N_Assi[Indirizzo],[1]!Tabella_N_Assi[Tipo Mezzo Preferenziale],"non trovato")</f>
        <v>non trovato</v>
      </c>
      <c r="G450">
        <f>_xlfn.XLOOKUP(A450,[2]Sheet1!$A:$A,[2]Sheet1!$G:$G,"non trovato")</f>
        <v>41.870518400000002</v>
      </c>
      <c r="H450">
        <f>_xlfn.XLOOKUP(A450,[2]Sheet1!$A:$A,[2]Sheet1!$H:$H,"non trovato")</f>
        <v>12.4653882</v>
      </c>
    </row>
    <row r="451" spans="1:8" x14ac:dyDescent="0.25">
      <c r="A451" s="1" t="str">
        <v>500000074217</v>
      </c>
      <c r="B451" s="1" t="str">
        <f>_xlfn.XLOOKUP(A451,[1]!TabellaContenitori[PdR],[1]!TabellaContenitori[AET])</f>
        <v>FRATTINI</v>
      </c>
      <c r="C451" s="1" t="str">
        <f>_xlfn.XLOOKUP(A451,[1]!TabellaContenitori[PdR],[1]!TabellaContenitori[Numero civico])</f>
        <v>99999</v>
      </c>
      <c r="D451" s="1" t="str">
        <f t="shared" ref="D451:D514" si="14">CONCATENATE(B451,", ",C451,", Roma")</f>
        <v>FRATTINI, 99999, Roma</v>
      </c>
      <c r="E451" s="1" t="str">
        <f t="shared" ref="E451:E514" si="15">_xlfn.TEXTBEFORE(D451,",")</f>
        <v>FRATTINI</v>
      </c>
      <c r="F451" s="1" t="str">
        <f>_xlfn.XLOOKUP(B451,[1]!Tabella_N_Assi[Indirizzo],[1]!Tabella_N_Assi[Tipo Mezzo Preferenziale],"non trovato")</f>
        <v>non trovato</v>
      </c>
      <c r="G451">
        <f>_xlfn.XLOOKUP(A451,[2]Sheet1!$A:$A,[2]Sheet1!$G:$G,"non trovato")</f>
        <v>41.854871230000001</v>
      </c>
      <c r="H451">
        <f>_xlfn.XLOOKUP(A451,[2]Sheet1!$A:$A,[2]Sheet1!$H:$H,"non trovato")</f>
        <v>12.451522369998999</v>
      </c>
    </row>
    <row r="452" spans="1:8" x14ac:dyDescent="0.25">
      <c r="A452" s="1" t="str">
        <v>500000075872</v>
      </c>
      <c r="B452" s="1" t="str">
        <f>_xlfn.XLOOKUP(A452,[1]!TabellaContenitori[PdR],[1]!TabellaContenitori[AET])</f>
        <v>MAGLIANA</v>
      </c>
      <c r="C452" s="1" t="str">
        <f>_xlfn.XLOOKUP(A452,[1]!TabellaContenitori[PdR],[1]!TabellaContenitori[Numero civico])</f>
        <v>103</v>
      </c>
      <c r="D452" s="1" t="str">
        <f t="shared" si="14"/>
        <v>MAGLIANA, 103, Roma</v>
      </c>
      <c r="E452" s="1" t="str">
        <f t="shared" si="15"/>
        <v>MAGLIANA</v>
      </c>
      <c r="F452" s="1" t="str">
        <f>_xlfn.XLOOKUP(B452,[1]!Tabella_N_Assi[Indirizzo],[1]!Tabella_N_Assi[Tipo Mezzo Preferenziale],"non trovato")</f>
        <v>non trovato</v>
      </c>
      <c r="G452">
        <f>_xlfn.XLOOKUP(A452,[2]Sheet1!$A:$A,[2]Sheet1!$G:$G,"non trovato")</f>
        <v>41.821498800000001</v>
      </c>
      <c r="H452">
        <f>_xlfn.XLOOKUP(A452,[2]Sheet1!$A:$A,[2]Sheet1!$H:$H,"non trovato")</f>
        <v>12.394792799999999</v>
      </c>
    </row>
    <row r="453" spans="1:8" x14ac:dyDescent="0.25">
      <c r="A453" s="1" t="str">
        <v>500000075908</v>
      </c>
      <c r="B453" s="1" t="str">
        <f>_xlfn.XLOOKUP(A453,[1]!TabellaContenitori[PdR],[1]!TabellaContenitori[AET])</f>
        <v>MAGLIANA</v>
      </c>
      <c r="C453" s="1" t="str">
        <f>_xlfn.XLOOKUP(A453,[1]!TabellaContenitori[PdR],[1]!TabellaContenitori[Numero civico])</f>
        <v>235</v>
      </c>
      <c r="D453" s="1" t="str">
        <f t="shared" si="14"/>
        <v>MAGLIANA, 235, Roma</v>
      </c>
      <c r="E453" s="1" t="str">
        <f t="shared" si="15"/>
        <v>MAGLIANA</v>
      </c>
      <c r="F453" s="1" t="str">
        <f>_xlfn.XLOOKUP(B453,[1]!Tabella_N_Assi[Indirizzo],[1]!Tabella_N_Assi[Tipo Mezzo Preferenziale],"non trovato")</f>
        <v>non trovato</v>
      </c>
      <c r="G453">
        <f>_xlfn.XLOOKUP(A453,[2]Sheet1!$A:$A,[2]Sheet1!$G:$G,"non trovato")</f>
        <v>41.821498800000001</v>
      </c>
      <c r="H453">
        <f>_xlfn.XLOOKUP(A453,[2]Sheet1!$A:$A,[2]Sheet1!$H:$H,"non trovato")</f>
        <v>12.394792799999999</v>
      </c>
    </row>
    <row r="454" spans="1:8" x14ac:dyDescent="0.25">
      <c r="A454" s="1" t="str">
        <v>500000075903</v>
      </c>
      <c r="B454" s="1" t="str">
        <f>_xlfn.XLOOKUP(A454,[1]!TabellaContenitori[PdR],[1]!TabellaContenitori[AET])</f>
        <v>MAGLIANA</v>
      </c>
      <c r="C454" s="1" t="str">
        <f>_xlfn.XLOOKUP(A454,[1]!TabellaContenitori[PdR],[1]!TabellaContenitori[Numero civico])</f>
        <v>221</v>
      </c>
      <c r="D454" s="1" t="str">
        <f t="shared" si="14"/>
        <v>MAGLIANA, 221, Roma</v>
      </c>
      <c r="E454" s="1" t="str">
        <f t="shared" si="15"/>
        <v>MAGLIANA</v>
      </c>
      <c r="F454" s="1" t="str">
        <f>_xlfn.XLOOKUP(B454,[1]!Tabella_N_Assi[Indirizzo],[1]!Tabella_N_Assi[Tipo Mezzo Preferenziale],"non trovato")</f>
        <v>non trovato</v>
      </c>
      <c r="G454">
        <f>_xlfn.XLOOKUP(A454,[2]Sheet1!$A:$A,[2]Sheet1!$G:$G,"non trovato")</f>
        <v>41.821498800000001</v>
      </c>
      <c r="H454">
        <f>_xlfn.XLOOKUP(A454,[2]Sheet1!$A:$A,[2]Sheet1!$H:$H,"non trovato")</f>
        <v>12.394792799999999</v>
      </c>
    </row>
    <row r="455" spans="1:8" x14ac:dyDescent="0.25">
      <c r="A455" s="1" t="str">
        <v>500000075897</v>
      </c>
      <c r="B455" s="1" t="str">
        <f>_xlfn.XLOOKUP(A455,[1]!TabellaContenitori[PdR],[1]!TabellaContenitori[AET])</f>
        <v>MAGLIANA</v>
      </c>
      <c r="C455" s="1" t="str">
        <f>_xlfn.XLOOKUP(A455,[1]!TabellaContenitori[PdR],[1]!TabellaContenitori[Numero civico])</f>
        <v>205</v>
      </c>
      <c r="D455" s="1" t="str">
        <f t="shared" si="14"/>
        <v>MAGLIANA, 205, Roma</v>
      </c>
      <c r="E455" s="1" t="str">
        <f t="shared" si="15"/>
        <v>MAGLIANA</v>
      </c>
      <c r="F455" s="1" t="str">
        <f>_xlfn.XLOOKUP(B455,[1]!Tabella_N_Assi[Indirizzo],[1]!Tabella_N_Assi[Tipo Mezzo Preferenziale],"non trovato")</f>
        <v>non trovato</v>
      </c>
      <c r="G455">
        <f>_xlfn.XLOOKUP(A455,[2]Sheet1!$A:$A,[2]Sheet1!$G:$G,"non trovato")</f>
        <v>41.821498800000001</v>
      </c>
      <c r="H455">
        <f>_xlfn.XLOOKUP(A455,[2]Sheet1!$A:$A,[2]Sheet1!$H:$H,"non trovato")</f>
        <v>12.394792799999999</v>
      </c>
    </row>
    <row r="456" spans="1:8" x14ac:dyDescent="0.25">
      <c r="A456" s="1" t="str">
        <v>500000109983</v>
      </c>
      <c r="B456" s="1" t="str">
        <f>_xlfn.XLOOKUP(A456,[1]!TabellaContenitori[PdR],[1]!TabellaContenitori[AET])</f>
        <v>MAGLIANA NUOVA</v>
      </c>
      <c r="C456" s="1" t="str">
        <f>_xlfn.XLOOKUP(A456,[1]!TabellaContenitori[PdR],[1]!TabellaContenitori[Numero civico])</f>
        <v>1</v>
      </c>
      <c r="D456" s="1" t="str">
        <f t="shared" si="14"/>
        <v>MAGLIANA NUOVA, 1, Roma</v>
      </c>
      <c r="E456" s="1" t="str">
        <f t="shared" si="15"/>
        <v>MAGLIANA NUOVA</v>
      </c>
      <c r="F456" s="1" t="str">
        <f>_xlfn.XLOOKUP(B456,[1]!Tabella_N_Assi[Indirizzo],[1]!Tabella_N_Assi[Tipo Mezzo Preferenziale],"non trovato")</f>
        <v>non trovato</v>
      </c>
      <c r="G456">
        <f>_xlfn.XLOOKUP(A456,[2]Sheet1!$A:$A,[2]Sheet1!$G:$G,"non trovato")</f>
        <v>41.850236899999999</v>
      </c>
      <c r="H456">
        <f>_xlfn.XLOOKUP(A456,[2]Sheet1!$A:$A,[2]Sheet1!$H:$H,"non trovato")</f>
        <v>12.461672800000001</v>
      </c>
    </row>
    <row r="457" spans="1:8" x14ac:dyDescent="0.25">
      <c r="A457" s="1" t="str">
        <v>500000093220</v>
      </c>
      <c r="B457" s="1" t="str">
        <f>_xlfn.XLOOKUP(A457,[1]!TabellaContenitori[PdR],[1]!TabellaContenitori[AET])</f>
        <v>MAGLIANA NUOVA</v>
      </c>
      <c r="C457" s="1" t="str">
        <f>_xlfn.XLOOKUP(A457,[1]!TabellaContenitori[PdR],[1]!TabellaContenitori[Numero civico])</f>
        <v>10</v>
      </c>
      <c r="D457" s="1" t="str">
        <f t="shared" si="14"/>
        <v>MAGLIANA NUOVA, 10, Roma</v>
      </c>
      <c r="E457" s="1" t="str">
        <f t="shared" si="15"/>
        <v>MAGLIANA NUOVA</v>
      </c>
      <c r="F457" s="1" t="str">
        <f>_xlfn.XLOOKUP(B457,[1]!Tabella_N_Assi[Indirizzo],[1]!Tabella_N_Assi[Tipo Mezzo Preferenziale],"non trovato")</f>
        <v>non trovato</v>
      </c>
      <c r="G457">
        <f>_xlfn.XLOOKUP(A457,[2]Sheet1!$A:$A,[2]Sheet1!$G:$G,"non trovato")</f>
        <v>41.849848999999999</v>
      </c>
      <c r="H457">
        <f>_xlfn.XLOOKUP(A457,[2]Sheet1!$A:$A,[2]Sheet1!$H:$H,"non trovato")</f>
        <v>12.4611266</v>
      </c>
    </row>
    <row r="458" spans="1:8" x14ac:dyDescent="0.25">
      <c r="A458" s="1" t="str">
        <v>500000043679</v>
      </c>
      <c r="B458" s="1" t="str">
        <f>_xlfn.XLOOKUP(A458,[1]!TabellaContenitori[PdR],[1]!TabellaContenitori[AET])</f>
        <v>MAGLIANA NUOVA</v>
      </c>
      <c r="C458" s="1" t="str">
        <f>_xlfn.XLOOKUP(A458,[1]!TabellaContenitori[PdR],[1]!TabellaContenitori[Numero civico])</f>
        <v>95</v>
      </c>
      <c r="D458" s="1" t="str">
        <f t="shared" si="14"/>
        <v>MAGLIANA NUOVA, 95, Roma</v>
      </c>
      <c r="E458" s="1" t="str">
        <f t="shared" si="15"/>
        <v>MAGLIANA NUOVA</v>
      </c>
      <c r="F458" s="1" t="str">
        <f>_xlfn.XLOOKUP(B458,[1]!Tabella_N_Assi[Indirizzo],[1]!Tabella_N_Assi[Tipo Mezzo Preferenziale],"non trovato")</f>
        <v>non trovato</v>
      </c>
      <c r="G458">
        <f>_xlfn.XLOOKUP(A458,[2]Sheet1!$A:$A,[2]Sheet1!$G:$G,"non trovato")</f>
        <v>41.848468500000003</v>
      </c>
      <c r="H458">
        <f>_xlfn.XLOOKUP(A458,[2]Sheet1!$A:$A,[2]Sheet1!$H:$H,"non trovato")</f>
        <v>12.461631799999999</v>
      </c>
    </row>
    <row r="459" spans="1:8" x14ac:dyDescent="0.25">
      <c r="A459" s="1" t="str">
        <v>500000160154</v>
      </c>
      <c r="B459" s="1" t="str">
        <f>_xlfn.XLOOKUP(A459,[1]!TabellaContenitori[PdR],[1]!TabellaContenitori[AET])</f>
        <v>PONTE GALERIA - PIANA DEL SOL</v>
      </c>
      <c r="C459" s="1" t="str">
        <f>_xlfn.XLOOKUP(A459,[1]!TabellaContenitori[PdR],[1]!TabellaContenitori[Numero civico])</f>
        <v>101</v>
      </c>
      <c r="D459" s="1" t="str">
        <f t="shared" si="14"/>
        <v>PONTE GALERIA - PIANA DEL SOL, 101, Roma</v>
      </c>
      <c r="E459" s="1" t="str">
        <f t="shared" si="15"/>
        <v>PONTE GALERIA - PIANA DEL SOL</v>
      </c>
      <c r="F459" s="1" t="str">
        <f>_xlfn.XLOOKUP(B459,[1]!Tabella_N_Assi[Indirizzo],[1]!Tabella_N_Assi[Tipo Mezzo Preferenziale],"non trovato")</f>
        <v>non trovato</v>
      </c>
      <c r="G459">
        <f>_xlfn.XLOOKUP(A459,[2]Sheet1!$A:$A,[2]Sheet1!$G:$G,"non trovato")</f>
        <v>41.832974800000002</v>
      </c>
      <c r="H459">
        <f>_xlfn.XLOOKUP(A459,[2]Sheet1!$A:$A,[2]Sheet1!$H:$H,"non trovato")</f>
        <v>12.411088599999999</v>
      </c>
    </row>
    <row r="460" spans="1:8" x14ac:dyDescent="0.25">
      <c r="A460" s="1" t="str">
        <v>500000020965</v>
      </c>
      <c r="B460" s="1" t="str">
        <f>_xlfn.XLOOKUP(A460,[1]!TabellaContenitori[PdR],[1]!TabellaContenitori[AET])</f>
        <v>MAGLIANA NUOVA</v>
      </c>
      <c r="C460" s="1" t="str">
        <f>_xlfn.XLOOKUP(A460,[1]!TabellaContenitori[PdR],[1]!TabellaContenitori[Numero civico])</f>
        <v>37</v>
      </c>
      <c r="D460" s="1" t="str">
        <f t="shared" si="14"/>
        <v>MAGLIANA NUOVA, 37, Roma</v>
      </c>
      <c r="E460" s="1" t="str">
        <f t="shared" si="15"/>
        <v>MAGLIANA NUOVA</v>
      </c>
      <c r="F460" s="1" t="str">
        <f>_xlfn.XLOOKUP(B460,[1]!Tabella_N_Assi[Indirizzo],[1]!Tabella_N_Assi[Tipo Mezzo Preferenziale],"non trovato")</f>
        <v>non trovato</v>
      </c>
      <c r="G460">
        <f>_xlfn.XLOOKUP(A460,[2]Sheet1!$A:$A,[2]Sheet1!$G:$G,"non trovato")</f>
        <v>41.849527999999999</v>
      </c>
      <c r="H460">
        <f>_xlfn.XLOOKUP(A460,[2]Sheet1!$A:$A,[2]Sheet1!$H:$H,"non trovato")</f>
        <v>12.4600893</v>
      </c>
    </row>
    <row r="461" spans="1:8" x14ac:dyDescent="0.25">
      <c r="A461" s="1" t="str">
        <v>500000083211</v>
      </c>
      <c r="B461" s="1" t="str">
        <f>_xlfn.XLOOKUP(A461,[1]!TabellaContenitori[PdR],[1]!TabellaContenitori[AET])</f>
        <v>TRULLO - MONTE CUCCO</v>
      </c>
      <c r="C461" s="1" t="str">
        <f>_xlfn.XLOOKUP(A461,[1]!TabellaContenitori[PdR],[1]!TabellaContenitori[Numero civico])</f>
        <v>151</v>
      </c>
      <c r="D461" s="1" t="str">
        <f t="shared" si="14"/>
        <v>TRULLO - MONTE CUCCO, 151, Roma</v>
      </c>
      <c r="E461" s="1" t="str">
        <f t="shared" si="15"/>
        <v>TRULLO - MONTE CUCCO</v>
      </c>
      <c r="F461" s="1" t="str">
        <f>_xlfn.XLOOKUP(B461,[1]!Tabella_N_Assi[Indirizzo],[1]!Tabella_N_Assi[Tipo Mezzo Preferenziale],"non trovato")</f>
        <v>non trovato</v>
      </c>
      <c r="G461">
        <f>_xlfn.XLOOKUP(A461,[2]Sheet1!$A:$A,[2]Sheet1!$G:$G,"non trovato")</f>
        <v>41.844543299999998</v>
      </c>
      <c r="H461">
        <f>_xlfn.XLOOKUP(A461,[2]Sheet1!$A:$A,[2]Sheet1!$H:$H,"non trovato")</f>
        <v>12.4381301</v>
      </c>
    </row>
    <row r="462" spans="1:8" x14ac:dyDescent="0.25">
      <c r="A462" s="1" t="str">
        <v>500000123531</v>
      </c>
      <c r="B462" s="1" t="str">
        <f>_xlfn.XLOOKUP(A462,[1]!TabellaContenitori[PdR],[1]!TabellaContenitori[AET])</f>
        <v>TRULLO - MONTE CUCCO</v>
      </c>
      <c r="C462" s="1" t="str">
        <f>_xlfn.XLOOKUP(A462,[1]!TabellaContenitori[PdR],[1]!TabellaContenitori[Numero civico])</f>
        <v>6</v>
      </c>
      <c r="D462" s="1" t="str">
        <f t="shared" si="14"/>
        <v>TRULLO - MONTE CUCCO, 6, Roma</v>
      </c>
      <c r="E462" s="1" t="str">
        <f t="shared" si="15"/>
        <v>TRULLO - MONTE CUCCO</v>
      </c>
      <c r="F462" s="1" t="str">
        <f>_xlfn.XLOOKUP(B462,[1]!Tabella_N_Assi[Indirizzo],[1]!Tabella_N_Assi[Tipo Mezzo Preferenziale],"non trovato")</f>
        <v>non trovato</v>
      </c>
      <c r="G462">
        <f>_xlfn.XLOOKUP(A462,[2]Sheet1!$A:$A,[2]Sheet1!$G:$G,"non trovato")</f>
        <v>41.843424800000001</v>
      </c>
      <c r="H462">
        <f>_xlfn.XLOOKUP(A462,[2]Sheet1!$A:$A,[2]Sheet1!$H:$H,"non trovato")</f>
        <v>12.4382193</v>
      </c>
    </row>
    <row r="463" spans="1:8" x14ac:dyDescent="0.25">
      <c r="A463" s="1" t="str">
        <v>500000009840</v>
      </c>
      <c r="B463" s="1" t="str">
        <f>_xlfn.XLOOKUP(A463,[1]!TabellaContenitori[PdR],[1]!TabellaContenitori[AET])</f>
        <v>TRULLO - MONTE CUCCO</v>
      </c>
      <c r="C463" s="1" t="str">
        <f>_xlfn.XLOOKUP(A463,[1]!TabellaContenitori[PdR],[1]!TabellaContenitori[Numero civico])</f>
        <v>2</v>
      </c>
      <c r="D463" s="1" t="str">
        <f t="shared" si="14"/>
        <v>TRULLO - MONTE CUCCO, 2, Roma</v>
      </c>
      <c r="E463" s="1" t="str">
        <f t="shared" si="15"/>
        <v>TRULLO - MONTE CUCCO</v>
      </c>
      <c r="F463" s="1" t="str">
        <f>_xlfn.XLOOKUP(B463,[1]!Tabella_N_Assi[Indirizzo],[1]!Tabella_N_Assi[Tipo Mezzo Preferenziale],"non trovato")</f>
        <v>non trovato</v>
      </c>
      <c r="G463">
        <f>_xlfn.XLOOKUP(A463,[2]Sheet1!$A:$A,[2]Sheet1!$G:$G,"non trovato")</f>
        <v>41.853992300000002</v>
      </c>
      <c r="H463">
        <f>_xlfn.XLOOKUP(A463,[2]Sheet1!$A:$A,[2]Sheet1!$H:$H,"non trovato")</f>
        <v>12.4453563</v>
      </c>
    </row>
    <row r="464" spans="1:8" x14ac:dyDescent="0.25">
      <c r="A464" s="1" t="str">
        <v>500000063735</v>
      </c>
      <c r="B464" s="1" t="str">
        <f>_xlfn.XLOOKUP(A464,[1]!TabellaContenitori[PdR],[1]!TabellaContenitori[AET])</f>
        <v>TRULLO - MONTE CUCCO</v>
      </c>
      <c r="C464" s="1" t="str">
        <f>_xlfn.XLOOKUP(A464,[1]!TabellaContenitori[PdR],[1]!TabellaContenitori[Numero civico])</f>
        <v>64</v>
      </c>
      <c r="D464" s="1" t="str">
        <f t="shared" si="14"/>
        <v>TRULLO - MONTE CUCCO, 64, Roma</v>
      </c>
      <c r="E464" s="1" t="str">
        <f t="shared" si="15"/>
        <v>TRULLO - MONTE CUCCO</v>
      </c>
      <c r="F464" s="1" t="str">
        <f>_xlfn.XLOOKUP(B464,[1]!Tabella_N_Assi[Indirizzo],[1]!Tabella_N_Assi[Tipo Mezzo Preferenziale],"non trovato")</f>
        <v>non trovato</v>
      </c>
      <c r="G464">
        <f>_xlfn.XLOOKUP(A464,[2]Sheet1!$A:$A,[2]Sheet1!$G:$G,"non trovato")</f>
        <v>41.842198699999997</v>
      </c>
      <c r="H464">
        <f>_xlfn.XLOOKUP(A464,[2]Sheet1!$A:$A,[2]Sheet1!$H:$H,"non trovato")</f>
        <v>12.441648199999999</v>
      </c>
    </row>
    <row r="465" spans="1:8" x14ac:dyDescent="0.25">
      <c r="A465" s="1" t="str">
        <v>500000027332</v>
      </c>
      <c r="B465" s="1" t="str">
        <f>_xlfn.XLOOKUP(A465,[1]!TabellaContenitori[PdR],[1]!TabellaContenitori[AET])</f>
        <v>CASETTA MATTEI</v>
      </c>
      <c r="C465" s="1" t="str">
        <f>_xlfn.XLOOKUP(A465,[1]!TabellaContenitori[PdR],[1]!TabellaContenitori[Numero civico])</f>
        <v>59</v>
      </c>
      <c r="D465" s="1" t="str">
        <f t="shared" si="14"/>
        <v>CASETTA MATTEI, 59, Roma</v>
      </c>
      <c r="E465" s="1" t="str">
        <f t="shared" si="15"/>
        <v>CASETTA MATTEI</v>
      </c>
      <c r="F465" s="1" t="str">
        <f>_xlfn.XLOOKUP(B465,[1]!Tabella_N_Assi[Indirizzo],[1]!Tabella_N_Assi[Tipo Mezzo Preferenziale],"non trovato")</f>
        <v>non trovato</v>
      </c>
      <c r="G465">
        <f>_xlfn.XLOOKUP(A465,[2]Sheet1!$A:$A,[2]Sheet1!$G:$G,"non trovato")</f>
        <v>41.8562826</v>
      </c>
      <c r="H465">
        <f>_xlfn.XLOOKUP(A465,[2]Sheet1!$A:$A,[2]Sheet1!$H:$H,"non trovato")</f>
        <v>12.422466399999999</v>
      </c>
    </row>
    <row r="466" spans="1:8" x14ac:dyDescent="0.25">
      <c r="A466" s="1" t="str">
        <v>500000120351</v>
      </c>
      <c r="B466" s="1" t="str">
        <f>_xlfn.XLOOKUP(A466,[1]!TabellaContenitori[PdR],[1]!TabellaContenitori[AET])</f>
        <v>TRULLO - MONTE CUCCO</v>
      </c>
      <c r="C466" s="1" t="str">
        <f>_xlfn.XLOOKUP(A466,[1]!TabellaContenitori[PdR],[1]!TabellaContenitori[Numero civico])</f>
        <v>411</v>
      </c>
      <c r="D466" s="1" t="str">
        <f t="shared" si="14"/>
        <v>TRULLO - MONTE CUCCO, 411, Roma</v>
      </c>
      <c r="E466" s="1" t="str">
        <f t="shared" si="15"/>
        <v>TRULLO - MONTE CUCCO</v>
      </c>
      <c r="F466" s="1" t="str">
        <f>_xlfn.XLOOKUP(B466,[1]!Tabella_N_Assi[Indirizzo],[1]!Tabella_N_Assi[Tipo Mezzo Preferenziale],"non trovato")</f>
        <v>non trovato</v>
      </c>
      <c r="G466">
        <f>_xlfn.XLOOKUP(A466,[2]Sheet1!$A:$A,[2]Sheet1!$G:$G,"non trovato")</f>
        <v>41.8431517</v>
      </c>
      <c r="H466">
        <f>_xlfn.XLOOKUP(A466,[2]Sheet1!$A:$A,[2]Sheet1!$H:$H,"non trovato")</f>
        <v>12.436747499999999</v>
      </c>
    </row>
    <row r="467" spans="1:8" x14ac:dyDescent="0.25">
      <c r="A467" s="1" t="str">
        <v>500000120311</v>
      </c>
      <c r="B467" s="1" t="str">
        <f>_xlfn.XLOOKUP(A467,[1]!TabellaContenitori[PdR],[1]!TabellaContenitori[AET])</f>
        <v>TRULLO - MONTE DELLE CAPRE</v>
      </c>
      <c r="C467" s="1" t="str">
        <f>_xlfn.XLOOKUP(A467,[1]!TabellaContenitori[PdR],[1]!TabellaContenitori[Numero civico])</f>
        <v>46</v>
      </c>
      <c r="D467" s="1" t="str">
        <f t="shared" si="14"/>
        <v>TRULLO - MONTE DELLE CAPRE, 46, Roma</v>
      </c>
      <c r="E467" s="1" t="str">
        <f t="shared" si="15"/>
        <v>TRULLO - MONTE DELLE CAPRE</v>
      </c>
      <c r="F467" s="1" t="str">
        <f>_xlfn.XLOOKUP(B467,[1]!Tabella_N_Assi[Indirizzo],[1]!Tabella_N_Assi[Tipo Mezzo Preferenziale],"non trovato")</f>
        <v>non trovato</v>
      </c>
      <c r="G467">
        <f>_xlfn.XLOOKUP(A467,[2]Sheet1!$A:$A,[2]Sheet1!$G:$G,"non trovato")</f>
        <v>41.8431517</v>
      </c>
      <c r="H467">
        <f>_xlfn.XLOOKUP(A467,[2]Sheet1!$A:$A,[2]Sheet1!$H:$H,"non trovato")</f>
        <v>12.436747499999999</v>
      </c>
    </row>
    <row r="468" spans="1:8" x14ac:dyDescent="0.25">
      <c r="A468" s="1" t="str">
        <v>500000120343</v>
      </c>
      <c r="B468" s="1" t="str">
        <f>_xlfn.XLOOKUP(A468,[1]!TabellaContenitori[PdR],[1]!TabellaContenitori[AET])</f>
        <v>TRULLO - MONTE CUCCO</v>
      </c>
      <c r="C468" s="1" t="str">
        <f>_xlfn.XLOOKUP(A468,[1]!TabellaContenitori[PdR],[1]!TabellaContenitori[Numero civico])</f>
        <v>351</v>
      </c>
      <c r="D468" s="1" t="str">
        <f t="shared" si="14"/>
        <v>TRULLO - MONTE CUCCO, 351, Roma</v>
      </c>
      <c r="E468" s="1" t="str">
        <f t="shared" si="15"/>
        <v>TRULLO - MONTE CUCCO</v>
      </c>
      <c r="F468" s="1" t="str">
        <f>_xlfn.XLOOKUP(B468,[1]!Tabella_N_Assi[Indirizzo],[1]!Tabella_N_Assi[Tipo Mezzo Preferenziale],"non trovato")</f>
        <v>non trovato</v>
      </c>
      <c r="G468">
        <f>_xlfn.XLOOKUP(A468,[2]Sheet1!$A:$A,[2]Sheet1!$G:$G,"non trovato")</f>
        <v>41.8431517</v>
      </c>
      <c r="H468">
        <f>_xlfn.XLOOKUP(A468,[2]Sheet1!$A:$A,[2]Sheet1!$H:$H,"non trovato")</f>
        <v>12.436747499999999</v>
      </c>
    </row>
    <row r="469" spans="1:8" x14ac:dyDescent="0.25">
      <c r="A469" s="1" t="str">
        <v>500000032913</v>
      </c>
      <c r="B469" s="1" t="str">
        <f>_xlfn.XLOOKUP(A469,[1]!TabellaContenitori[PdR],[1]!TabellaContenitori[AET])</f>
        <v>CASETTA MATTEI</v>
      </c>
      <c r="C469" s="1" t="str">
        <f>_xlfn.XLOOKUP(A469,[1]!TabellaContenitori[PdR],[1]!TabellaContenitori[Numero civico])</f>
        <v>154</v>
      </c>
      <c r="D469" s="1" t="str">
        <f t="shared" si="14"/>
        <v>CASETTA MATTEI, 154, Roma</v>
      </c>
      <c r="E469" s="1" t="str">
        <f t="shared" si="15"/>
        <v>CASETTA MATTEI</v>
      </c>
      <c r="F469" s="1" t="str">
        <f>_xlfn.XLOOKUP(B469,[1]!Tabella_N_Assi[Indirizzo],[1]!Tabella_N_Assi[Tipo Mezzo Preferenziale],"non trovato")</f>
        <v>non trovato</v>
      </c>
      <c r="G469">
        <f>_xlfn.XLOOKUP(A469,[2]Sheet1!$A:$A,[2]Sheet1!$G:$G,"non trovato")</f>
        <v>41.859758599999999</v>
      </c>
      <c r="H469">
        <f>_xlfn.XLOOKUP(A469,[2]Sheet1!$A:$A,[2]Sheet1!$H:$H,"non trovato")</f>
        <v>12.419367100000001</v>
      </c>
    </row>
    <row r="470" spans="1:8" x14ac:dyDescent="0.25">
      <c r="A470" s="1" t="str">
        <v>500000059167</v>
      </c>
      <c r="B470" s="1" t="str">
        <f>_xlfn.XLOOKUP(A470,[1]!TabellaContenitori[PdR],[1]!TabellaContenitori[AET])</f>
        <v>TRULLO - MONTE DELLE CAPRE</v>
      </c>
      <c r="C470" s="1" t="str">
        <f>_xlfn.XLOOKUP(A470,[1]!TabellaContenitori[PdR],[1]!TabellaContenitori[Numero civico])</f>
        <v>109</v>
      </c>
      <c r="D470" s="1" t="str">
        <f t="shared" si="14"/>
        <v>TRULLO - MONTE DELLE CAPRE, 109, Roma</v>
      </c>
      <c r="E470" s="1" t="str">
        <f t="shared" si="15"/>
        <v>TRULLO - MONTE DELLE CAPRE</v>
      </c>
      <c r="F470" s="1" t="str">
        <f>_xlfn.XLOOKUP(B470,[1]!Tabella_N_Assi[Indirizzo],[1]!Tabella_N_Assi[Tipo Mezzo Preferenziale],"non trovato")</f>
        <v>non trovato</v>
      </c>
      <c r="G470">
        <f>_xlfn.XLOOKUP(A470,[2]Sheet1!$A:$A,[2]Sheet1!$G:$G,"non trovato")</f>
        <v>41.834994199999997</v>
      </c>
      <c r="H470">
        <f>_xlfn.XLOOKUP(A470,[2]Sheet1!$A:$A,[2]Sheet1!$H:$H,"non trovato")</f>
        <v>12.4303554</v>
      </c>
    </row>
    <row r="471" spans="1:8" x14ac:dyDescent="0.25">
      <c r="A471" s="1" t="str">
        <v>500000124524</v>
      </c>
      <c r="B471" s="1" t="str">
        <f>_xlfn.XLOOKUP(A471,[1]!TabellaContenitori[PdR],[1]!TabellaContenitori[AET])</f>
        <v>TRULLO - MONTE DELLE CAPRE</v>
      </c>
      <c r="C471" s="1" t="str">
        <f>_xlfn.XLOOKUP(A471,[1]!TabellaContenitori[PdR],[1]!TabellaContenitori[Numero civico])</f>
        <v>125</v>
      </c>
      <c r="D471" s="1" t="str">
        <f t="shared" si="14"/>
        <v>TRULLO - MONTE DELLE CAPRE, 125, Roma</v>
      </c>
      <c r="E471" s="1" t="str">
        <f t="shared" si="15"/>
        <v>TRULLO - MONTE DELLE CAPRE</v>
      </c>
      <c r="F471" s="1" t="str">
        <f>_xlfn.XLOOKUP(B471,[1]!Tabella_N_Assi[Indirizzo],[1]!Tabella_N_Assi[Tipo Mezzo Preferenziale],"non trovato")</f>
        <v>non trovato</v>
      </c>
      <c r="G471">
        <f>_xlfn.XLOOKUP(A471,[2]Sheet1!$A:$A,[2]Sheet1!$G:$G,"non trovato")</f>
        <v>41.836390000000002</v>
      </c>
      <c r="H471">
        <f>_xlfn.XLOOKUP(A471,[2]Sheet1!$A:$A,[2]Sheet1!$H:$H,"non trovato")</f>
        <v>12.421317</v>
      </c>
    </row>
    <row r="472" spans="1:8" x14ac:dyDescent="0.25">
      <c r="A472" s="1" t="str">
        <v>500000096247</v>
      </c>
      <c r="B472" s="1" t="str">
        <f>_xlfn.XLOOKUP(A472,[1]!TabellaContenitori[PdR],[1]!TabellaContenitori[AET])</f>
        <v>CORVIALE</v>
      </c>
      <c r="C472" s="1" t="str">
        <f>_xlfn.XLOOKUP(A472,[1]!TabellaContenitori[PdR],[1]!TabellaContenitori[Numero civico])</f>
        <v>5</v>
      </c>
      <c r="D472" s="1" t="str">
        <f t="shared" si="14"/>
        <v>CORVIALE, 5, Roma</v>
      </c>
      <c r="E472" s="1" t="str">
        <f t="shared" si="15"/>
        <v>CORVIALE</v>
      </c>
      <c r="F472" s="1" t="str">
        <f>_xlfn.XLOOKUP(B472,[1]!Tabella_N_Assi[Indirizzo],[1]!Tabella_N_Assi[Tipo Mezzo Preferenziale],"non trovato")</f>
        <v>non trovato</v>
      </c>
      <c r="G472">
        <f>_xlfn.XLOOKUP(A472,[2]Sheet1!$A:$A,[2]Sheet1!$G:$G,"non trovato")</f>
        <v>41.852738500000001</v>
      </c>
      <c r="H472">
        <f>_xlfn.XLOOKUP(A472,[2]Sheet1!$A:$A,[2]Sheet1!$H:$H,"non trovato")</f>
        <v>12.4131214</v>
      </c>
    </row>
    <row r="473" spans="1:8" x14ac:dyDescent="0.25">
      <c r="A473" s="1" t="str">
        <v>500000096248</v>
      </c>
      <c r="B473" s="1" t="str">
        <f>_xlfn.XLOOKUP(A473,[1]!TabellaContenitori[PdR],[1]!TabellaContenitori[AET])</f>
        <v>CORVIALE</v>
      </c>
      <c r="C473" s="1" t="str">
        <f>_xlfn.XLOOKUP(A473,[1]!TabellaContenitori[PdR],[1]!TabellaContenitori[Numero civico])</f>
        <v>5</v>
      </c>
      <c r="D473" s="1" t="str">
        <f t="shared" si="14"/>
        <v>CORVIALE, 5, Roma</v>
      </c>
      <c r="E473" s="1" t="str">
        <f t="shared" si="15"/>
        <v>CORVIALE</v>
      </c>
      <c r="F473" s="1" t="str">
        <f>_xlfn.XLOOKUP(B473,[1]!Tabella_N_Assi[Indirizzo],[1]!Tabella_N_Assi[Tipo Mezzo Preferenziale],"non trovato")</f>
        <v>non trovato</v>
      </c>
      <c r="G473">
        <f>_xlfn.XLOOKUP(A473,[2]Sheet1!$A:$A,[2]Sheet1!$G:$G,"non trovato")</f>
        <v>41.852738500000001</v>
      </c>
      <c r="H473">
        <f>_xlfn.XLOOKUP(A473,[2]Sheet1!$A:$A,[2]Sheet1!$H:$H,"non trovato")</f>
        <v>12.4131214</v>
      </c>
    </row>
    <row r="474" spans="1:8" x14ac:dyDescent="0.25">
      <c r="A474" s="1" t="str">
        <v>500000096252</v>
      </c>
      <c r="B474" s="1" t="str">
        <f>_xlfn.XLOOKUP(A474,[1]!TabellaContenitori[PdR],[1]!TabellaContenitori[AET])</f>
        <v>CORVIALE</v>
      </c>
      <c r="C474" s="1" t="str">
        <f>_xlfn.XLOOKUP(A474,[1]!TabellaContenitori[PdR],[1]!TabellaContenitori[Numero civico])</f>
        <v>50</v>
      </c>
      <c r="D474" s="1" t="str">
        <f t="shared" si="14"/>
        <v>CORVIALE, 50, Roma</v>
      </c>
      <c r="E474" s="1" t="str">
        <f t="shared" si="15"/>
        <v>CORVIALE</v>
      </c>
      <c r="F474" s="1" t="str">
        <f>_xlfn.XLOOKUP(B474,[1]!Tabella_N_Assi[Indirizzo],[1]!Tabella_N_Assi[Tipo Mezzo Preferenziale],"non trovato")</f>
        <v>non trovato</v>
      </c>
      <c r="G474">
        <f>_xlfn.XLOOKUP(A474,[2]Sheet1!$A:$A,[2]Sheet1!$G:$G,"non trovato")</f>
        <v>41.852738500000001</v>
      </c>
      <c r="H474">
        <f>_xlfn.XLOOKUP(A474,[2]Sheet1!$A:$A,[2]Sheet1!$H:$H,"non trovato")</f>
        <v>12.4131214</v>
      </c>
    </row>
    <row r="475" spans="1:8" x14ac:dyDescent="0.25">
      <c r="A475" s="1" t="str">
        <v>500000032901</v>
      </c>
      <c r="B475" s="1" t="str">
        <f>_xlfn.XLOOKUP(A475,[1]!TabellaContenitori[PdR],[1]!TabellaContenitori[AET])</f>
        <v>CASETTA MATTEI</v>
      </c>
      <c r="C475" s="1" t="str">
        <f>_xlfn.XLOOKUP(A475,[1]!TabellaContenitori[PdR],[1]!TabellaContenitori[Numero civico])</f>
        <v>95</v>
      </c>
      <c r="D475" s="1" t="str">
        <f t="shared" si="14"/>
        <v>CASETTA MATTEI, 95, Roma</v>
      </c>
      <c r="E475" s="1" t="str">
        <f t="shared" si="15"/>
        <v>CASETTA MATTEI</v>
      </c>
      <c r="F475" s="1" t="str">
        <f>_xlfn.XLOOKUP(B475,[1]!Tabella_N_Assi[Indirizzo],[1]!Tabella_N_Assi[Tipo Mezzo Preferenziale],"non trovato")</f>
        <v>non trovato</v>
      </c>
      <c r="G475">
        <f>_xlfn.XLOOKUP(A475,[2]Sheet1!$A:$A,[2]Sheet1!$G:$G,"non trovato")</f>
        <v>41.859758599999999</v>
      </c>
      <c r="H475">
        <f>_xlfn.XLOOKUP(A475,[2]Sheet1!$A:$A,[2]Sheet1!$H:$H,"non trovato")</f>
        <v>12.419367100000001</v>
      </c>
    </row>
    <row r="476" spans="1:8" x14ac:dyDescent="0.25">
      <c r="A476" s="1" t="str">
        <v>500000009859</v>
      </c>
      <c r="B476" s="1" t="str">
        <f>_xlfn.XLOOKUP(A476,[1]!TabellaContenitori[PdR],[1]!TabellaContenitori[AET])</f>
        <v>CASETTA MATTEI</v>
      </c>
      <c r="C476" s="1" t="str">
        <f>_xlfn.XLOOKUP(A476,[1]!TabellaContenitori[PdR],[1]!TabellaContenitori[Numero civico])</f>
        <v>105</v>
      </c>
      <c r="D476" s="1" t="str">
        <f t="shared" si="14"/>
        <v>CASETTA MATTEI, 105, Roma</v>
      </c>
      <c r="E476" s="1" t="str">
        <f t="shared" si="15"/>
        <v>CASETTA MATTEI</v>
      </c>
      <c r="F476" s="1" t="str">
        <f>_xlfn.XLOOKUP(B476,[1]!Tabella_N_Assi[Indirizzo],[1]!Tabella_N_Assi[Tipo Mezzo Preferenziale],"non trovato")</f>
        <v>non trovato</v>
      </c>
      <c r="G476">
        <f>_xlfn.XLOOKUP(A476,[2]Sheet1!$A:$A,[2]Sheet1!$G:$G,"non trovato")</f>
        <v>41.852748300000002</v>
      </c>
      <c r="H476">
        <f>_xlfn.XLOOKUP(A476,[2]Sheet1!$A:$A,[2]Sheet1!$H:$H,"non trovato")</f>
        <v>12.425168299999999</v>
      </c>
    </row>
    <row r="477" spans="1:8" x14ac:dyDescent="0.25">
      <c r="A477" s="1" t="str">
        <v>500000036009</v>
      </c>
      <c r="B477" s="1" t="str">
        <f>_xlfn.XLOOKUP(A477,[1]!TabellaContenitori[PdR],[1]!TabellaContenitori[AET])</f>
        <v>TRULLO - MONTE DELLE CAPRE</v>
      </c>
      <c r="C477" s="1" t="str">
        <f>_xlfn.XLOOKUP(A477,[1]!TabellaContenitori[PdR],[1]!TabellaContenitori[Numero civico])</f>
        <v>107</v>
      </c>
      <c r="D477" s="1" t="str">
        <f t="shared" si="14"/>
        <v>TRULLO - MONTE DELLE CAPRE, 107, Roma</v>
      </c>
      <c r="E477" s="1" t="str">
        <f t="shared" si="15"/>
        <v>TRULLO - MONTE DELLE CAPRE</v>
      </c>
      <c r="F477" s="1" t="str">
        <f>_xlfn.XLOOKUP(B477,[1]!Tabella_N_Assi[Indirizzo],[1]!Tabella_N_Assi[Tipo Mezzo Preferenziale],"non trovato")</f>
        <v>non trovato</v>
      </c>
      <c r="G477">
        <f>_xlfn.XLOOKUP(A477,[2]Sheet1!$A:$A,[2]Sheet1!$G:$G,"non trovato")</f>
        <v>41.843478599999997</v>
      </c>
      <c r="H477">
        <f>_xlfn.XLOOKUP(A477,[2]Sheet1!$A:$A,[2]Sheet1!$H:$H,"non trovato")</f>
        <v>12.4276889</v>
      </c>
    </row>
    <row r="478" spans="1:8" x14ac:dyDescent="0.25">
      <c r="A478" s="1" t="str">
        <v>500000153065</v>
      </c>
      <c r="B478" s="1" t="str">
        <f>_xlfn.XLOOKUP(A478,[1]!TabellaContenitori[PdR],[1]!TabellaContenitori[AET])</f>
        <v>TRULLO - MONTE DELLE CAPRE</v>
      </c>
      <c r="C478" s="1" t="str">
        <f>_xlfn.XLOOKUP(A478,[1]!TabellaContenitori[PdR],[1]!TabellaContenitori[Numero civico])</f>
        <v>58</v>
      </c>
      <c r="D478" s="1" t="str">
        <f t="shared" si="14"/>
        <v>TRULLO - MONTE DELLE CAPRE, 58, Roma</v>
      </c>
      <c r="E478" s="1" t="str">
        <f t="shared" si="15"/>
        <v>TRULLO - MONTE DELLE CAPRE</v>
      </c>
      <c r="F478" s="1" t="str">
        <f>_xlfn.XLOOKUP(B478,[1]!Tabella_N_Assi[Indirizzo],[1]!Tabella_N_Assi[Tipo Mezzo Preferenziale],"non trovato")</f>
        <v>non trovato</v>
      </c>
      <c r="G478">
        <f>_xlfn.XLOOKUP(A478,[2]Sheet1!$A:$A,[2]Sheet1!$G:$G,"non trovato")</f>
        <v>41.837925400000003</v>
      </c>
      <c r="H478">
        <f>_xlfn.XLOOKUP(A478,[2]Sheet1!$A:$A,[2]Sheet1!$H:$H,"non trovato")</f>
        <v>12.4319752</v>
      </c>
    </row>
    <row r="479" spans="1:8" x14ac:dyDescent="0.25">
      <c r="A479" s="1" t="str">
        <v>500000025638</v>
      </c>
      <c r="B479" s="1" t="str">
        <f>_xlfn.XLOOKUP(A479,[1]!TabellaContenitori[PdR],[1]!TabellaContenitori[AET])</f>
        <v>CASETTA MATTEI</v>
      </c>
      <c r="C479" s="1" t="str">
        <f>_xlfn.XLOOKUP(A479,[1]!TabellaContenitori[PdR],[1]!TabellaContenitori[Numero civico])</f>
        <v>178</v>
      </c>
      <c r="D479" s="1" t="str">
        <f t="shared" si="14"/>
        <v>CASETTA MATTEI, 178, Roma</v>
      </c>
      <c r="E479" s="1" t="str">
        <f t="shared" si="15"/>
        <v>CASETTA MATTEI</v>
      </c>
      <c r="F479" s="1" t="str">
        <f>_xlfn.XLOOKUP(B479,[1]!Tabella_N_Assi[Indirizzo],[1]!Tabella_N_Assi[Tipo Mezzo Preferenziale],"non trovato")</f>
        <v>non trovato</v>
      </c>
      <c r="G479">
        <f>_xlfn.XLOOKUP(A479,[2]Sheet1!$A:$A,[2]Sheet1!$G:$G,"non trovato")</f>
        <v>41.853047799999999</v>
      </c>
      <c r="H479">
        <f>_xlfn.XLOOKUP(A479,[2]Sheet1!$A:$A,[2]Sheet1!$H:$H,"non trovato")</f>
        <v>12.4285136</v>
      </c>
    </row>
    <row r="480" spans="1:8" x14ac:dyDescent="0.25">
      <c r="A480" s="1" t="str">
        <v>500000093871</v>
      </c>
      <c r="B480" s="1" t="str">
        <f>_xlfn.XLOOKUP(A480,[1]!TabellaContenitori[PdR],[1]!TabellaContenitori[AET])</f>
        <v>FRATTINI</v>
      </c>
      <c r="C480" s="1" t="str">
        <f>_xlfn.XLOOKUP(A480,[1]!TabellaContenitori[PdR],[1]!TabellaContenitori[Numero civico])</f>
        <v>35</v>
      </c>
      <c r="D480" s="1" t="str">
        <f t="shared" si="14"/>
        <v>FRATTINI, 35, Roma</v>
      </c>
      <c r="E480" s="1" t="str">
        <f t="shared" si="15"/>
        <v>FRATTINI</v>
      </c>
      <c r="F480" s="1" t="str">
        <f>_xlfn.XLOOKUP(B480,[1]!Tabella_N_Assi[Indirizzo],[1]!Tabella_N_Assi[Tipo Mezzo Preferenziale],"non trovato")</f>
        <v>non trovato</v>
      </c>
      <c r="G480">
        <f>_xlfn.XLOOKUP(A480,[2]Sheet1!$A:$A,[2]Sheet1!$G:$G,"non trovato")</f>
        <v>41.8545655</v>
      </c>
      <c r="H480">
        <f>_xlfn.XLOOKUP(A480,[2]Sheet1!$A:$A,[2]Sheet1!$H:$H,"non trovato")</f>
        <v>12.452363</v>
      </c>
    </row>
    <row r="481" spans="1:8" x14ac:dyDescent="0.25">
      <c r="A481" s="1" t="str">
        <v>500000205675</v>
      </c>
      <c r="B481" s="1" t="str">
        <f>_xlfn.XLOOKUP(A481,[1]!TabellaContenitori[PdR],[1]!TabellaContenitori[AET])</f>
        <v>PORTUENSE</v>
      </c>
      <c r="C481" s="1" t="str">
        <f>_xlfn.XLOOKUP(A481,[1]!TabellaContenitori[PdR],[1]!TabellaContenitori[Numero civico])</f>
        <v>481</v>
      </c>
      <c r="D481" s="1" t="str">
        <f t="shared" si="14"/>
        <v>PORTUENSE, 481, Roma</v>
      </c>
      <c r="E481" s="1" t="str">
        <f t="shared" si="15"/>
        <v>PORTUENSE</v>
      </c>
      <c r="F481" s="1" t="str">
        <f>_xlfn.XLOOKUP(B481,[1]!Tabella_N_Assi[Indirizzo],[1]!Tabella_N_Assi[Tipo Mezzo Preferenziale],"non trovato")</f>
        <v>non trovato</v>
      </c>
      <c r="G481">
        <f>_xlfn.XLOOKUP(A481,[2]Sheet1!$A:$A,[2]Sheet1!$G:$G,"non trovato")</f>
        <v>41.870518400000002</v>
      </c>
      <c r="H481">
        <f>_xlfn.XLOOKUP(A481,[2]Sheet1!$A:$A,[2]Sheet1!$H:$H,"non trovato")</f>
        <v>12.4653882</v>
      </c>
    </row>
    <row r="482" spans="1:8" x14ac:dyDescent="0.25">
      <c r="A482" s="1" t="str">
        <v>500000173264</v>
      </c>
      <c r="B482" s="1" t="str">
        <f>_xlfn.XLOOKUP(A482,[1]!TabellaContenitori[PdR],[1]!TabellaContenitori[AET])</f>
        <v>PONTE GALERIA - PIANA DEL SOL</v>
      </c>
      <c r="C482" s="1" t="str">
        <f>_xlfn.XLOOKUP(A482,[1]!TabellaContenitori[PdR],[1]!TabellaContenitori[Numero civico])</f>
        <v>4</v>
      </c>
      <c r="D482" s="1" t="str">
        <f t="shared" si="14"/>
        <v>PONTE GALERIA - PIANA DEL SOL, 4, Roma</v>
      </c>
      <c r="E482" s="1" t="str">
        <f t="shared" si="15"/>
        <v>PONTE GALERIA - PIANA DEL SOL</v>
      </c>
      <c r="F482" s="1" t="str">
        <f>_xlfn.XLOOKUP(B482,[1]!Tabella_N_Assi[Indirizzo],[1]!Tabella_N_Assi[Tipo Mezzo Preferenziale],"non trovato")</f>
        <v>non trovato</v>
      </c>
      <c r="G482">
        <f>_xlfn.XLOOKUP(A482,[2]Sheet1!$A:$A,[2]Sheet1!$G:$G,"non trovato")</f>
        <v>41.827201100000003</v>
      </c>
      <c r="H482">
        <f>_xlfn.XLOOKUP(A482,[2]Sheet1!$A:$A,[2]Sheet1!$H:$H,"non trovato")</f>
        <v>12.395972799999999</v>
      </c>
    </row>
    <row r="483" spans="1:8" x14ac:dyDescent="0.25">
      <c r="A483" s="1" t="str">
        <v>500000047218</v>
      </c>
      <c r="B483" s="1" t="str">
        <f>_xlfn.XLOOKUP(A483,[1]!TabellaContenitori[PdR],[1]!TabellaContenitori[AET])</f>
        <v>MARCONI</v>
      </c>
      <c r="C483" s="1" t="str">
        <f>_xlfn.XLOOKUP(A483,[1]!TabellaContenitori[PdR],[1]!TabellaContenitori[Numero civico])</f>
        <v>16</v>
      </c>
      <c r="D483" s="1" t="str">
        <f t="shared" si="14"/>
        <v>MARCONI, 16, Roma</v>
      </c>
      <c r="E483" s="1" t="str">
        <f t="shared" si="15"/>
        <v>MARCONI</v>
      </c>
      <c r="F483" s="1" t="str">
        <f>_xlfn.XLOOKUP(B483,[1]!Tabella_N_Assi[Indirizzo],[1]!Tabella_N_Assi[Tipo Mezzo Preferenziale],"non trovato")</f>
        <v>non trovato</v>
      </c>
      <c r="G483">
        <f>_xlfn.XLOOKUP(A483,[2]Sheet1!$A:$A,[2]Sheet1!$G:$G,"non trovato")</f>
        <v>41.864205499999997</v>
      </c>
      <c r="H483">
        <f>_xlfn.XLOOKUP(A483,[2]Sheet1!$A:$A,[2]Sheet1!$H:$H,"non trovato")</f>
        <v>12.4692943</v>
      </c>
    </row>
    <row r="484" spans="1:8" x14ac:dyDescent="0.25">
      <c r="A484" s="1" t="str">
        <v>500000265378</v>
      </c>
      <c r="B484" s="1" t="str">
        <f>_xlfn.XLOOKUP(A484,[1]!TabellaContenitori[PdR],[1]!TabellaContenitori[AET])</f>
        <v>MARCONI</v>
      </c>
      <c r="C484" s="1" t="str">
        <f>_xlfn.XLOOKUP(A484,[1]!TabellaContenitori[PdR],[1]!TabellaContenitori[Numero civico])</f>
        <v>79</v>
      </c>
      <c r="D484" s="1" t="str">
        <f t="shared" si="14"/>
        <v>MARCONI, 79, Roma</v>
      </c>
      <c r="E484" s="1" t="str">
        <f t="shared" si="15"/>
        <v>MARCONI</v>
      </c>
      <c r="F484" s="1" t="str">
        <f>_xlfn.XLOOKUP(B484,[1]!Tabella_N_Assi[Indirizzo],[1]!Tabella_N_Assi[Tipo Mezzo Preferenziale],"non trovato")</f>
        <v>non trovato</v>
      </c>
      <c r="G484">
        <f>_xlfn.XLOOKUP(A484,[2]Sheet1!$A:$A,[2]Sheet1!$G:$G,"non trovato")</f>
        <v>41.862639000000001</v>
      </c>
      <c r="H484">
        <f>_xlfn.XLOOKUP(A484,[2]Sheet1!$A:$A,[2]Sheet1!$H:$H,"non trovato")</f>
        <v>12.4655162</v>
      </c>
    </row>
    <row r="485" spans="1:8" x14ac:dyDescent="0.25">
      <c r="A485" s="1" t="str">
        <v>500000068601</v>
      </c>
      <c r="B485" s="1" t="str">
        <f>_xlfn.XLOOKUP(A485,[1]!TabellaContenitori[PdR],[1]!TabellaContenitori[AET])</f>
        <v>MARCONI</v>
      </c>
      <c r="C485" s="1" t="str">
        <f>_xlfn.XLOOKUP(A485,[1]!TabellaContenitori[PdR],[1]!TabellaContenitori[Numero civico])</f>
        <v>176</v>
      </c>
      <c r="D485" s="1" t="str">
        <f t="shared" si="14"/>
        <v>MARCONI, 176, Roma</v>
      </c>
      <c r="E485" s="1" t="str">
        <f t="shared" si="15"/>
        <v>MARCONI</v>
      </c>
      <c r="F485" s="1" t="str">
        <f>_xlfn.XLOOKUP(B485,[1]!Tabella_N_Assi[Indirizzo],[1]!Tabella_N_Assi[Tipo Mezzo Preferenziale],"non trovato")</f>
        <v>non trovato</v>
      </c>
      <c r="G485">
        <f>_xlfn.XLOOKUP(A485,[2]Sheet1!$A:$A,[2]Sheet1!$G:$G,"non trovato")</f>
        <v>41.865684899999998</v>
      </c>
      <c r="H485">
        <f>_xlfn.XLOOKUP(A485,[2]Sheet1!$A:$A,[2]Sheet1!$H:$H,"non trovato")</f>
        <v>12.4686422</v>
      </c>
    </row>
    <row r="486" spans="1:8" x14ac:dyDescent="0.25">
      <c r="A486" s="1" t="str">
        <v>500000016715</v>
      </c>
      <c r="B486" s="1" t="str">
        <f>_xlfn.XLOOKUP(A486,[1]!TabellaContenitori[PdR],[1]!TabellaContenitori[AET])</f>
        <v>MARCONI</v>
      </c>
      <c r="C486" s="1" t="str">
        <f>_xlfn.XLOOKUP(A486,[1]!TabellaContenitori[PdR],[1]!TabellaContenitori[Numero civico])</f>
        <v>45</v>
      </c>
      <c r="D486" s="1" t="str">
        <f t="shared" si="14"/>
        <v>MARCONI, 45, Roma</v>
      </c>
      <c r="E486" s="1" t="str">
        <f t="shared" si="15"/>
        <v>MARCONI</v>
      </c>
      <c r="F486" s="1" t="str">
        <f>_xlfn.XLOOKUP(B486,[1]!Tabella_N_Assi[Indirizzo],[1]!Tabella_N_Assi[Tipo Mezzo Preferenziale],"non trovato")</f>
        <v>non trovato</v>
      </c>
      <c r="G486">
        <f>_xlfn.XLOOKUP(A486,[2]Sheet1!$A:$A,[2]Sheet1!$G:$G,"non trovato")</f>
        <v>41.8621853</v>
      </c>
      <c r="H486">
        <f>_xlfn.XLOOKUP(A486,[2]Sheet1!$A:$A,[2]Sheet1!$H:$H,"non trovato")</f>
        <v>12.4689797</v>
      </c>
    </row>
    <row r="487" spans="1:8" x14ac:dyDescent="0.25">
      <c r="A487" s="1" t="str">
        <v>500000047218</v>
      </c>
      <c r="B487" s="1" t="str">
        <f>_xlfn.XLOOKUP(A487,[1]!TabellaContenitori[PdR],[1]!TabellaContenitori[AET])</f>
        <v>MARCONI</v>
      </c>
      <c r="C487" s="1" t="str">
        <f>_xlfn.XLOOKUP(A487,[1]!TabellaContenitori[PdR],[1]!TabellaContenitori[Numero civico])</f>
        <v>16</v>
      </c>
      <c r="D487" s="1" t="str">
        <f t="shared" si="14"/>
        <v>MARCONI, 16, Roma</v>
      </c>
      <c r="E487" s="1" t="str">
        <f t="shared" si="15"/>
        <v>MARCONI</v>
      </c>
      <c r="F487" s="1" t="str">
        <f>_xlfn.XLOOKUP(B487,[1]!Tabella_N_Assi[Indirizzo],[1]!Tabella_N_Assi[Tipo Mezzo Preferenziale],"non trovato")</f>
        <v>non trovato</v>
      </c>
      <c r="G487">
        <f>_xlfn.XLOOKUP(A487,[2]Sheet1!$A:$A,[2]Sheet1!$G:$G,"non trovato")</f>
        <v>41.864205499999997</v>
      </c>
      <c r="H487">
        <f>_xlfn.XLOOKUP(A487,[2]Sheet1!$A:$A,[2]Sheet1!$H:$H,"non trovato")</f>
        <v>12.4692943</v>
      </c>
    </row>
    <row r="488" spans="1:8" x14ac:dyDescent="0.25">
      <c r="A488" s="1" t="str">
        <v>500000047226</v>
      </c>
      <c r="B488" s="1" t="str">
        <f>_xlfn.XLOOKUP(A488,[1]!TabellaContenitori[PdR],[1]!TabellaContenitori[AET])</f>
        <v>FERMI</v>
      </c>
      <c r="C488" s="1" t="str">
        <f>_xlfn.XLOOKUP(A488,[1]!TabellaContenitori[PdR],[1]!TabellaContenitori[Numero civico])</f>
        <v>54</v>
      </c>
      <c r="D488" s="1" t="str">
        <f t="shared" si="14"/>
        <v>FERMI, 54, Roma</v>
      </c>
      <c r="E488" s="1" t="str">
        <f t="shared" si="15"/>
        <v>FERMI</v>
      </c>
      <c r="F488" s="1" t="str">
        <f>_xlfn.XLOOKUP(B488,[1]!Tabella_N_Assi[Indirizzo],[1]!Tabella_N_Assi[Tipo Mezzo Preferenziale],"non trovato")</f>
        <v>non trovato</v>
      </c>
      <c r="G488">
        <f>_xlfn.XLOOKUP(A488,[2]Sheet1!$A:$A,[2]Sheet1!$G:$G,"non trovato")</f>
        <v>41.864571099999999</v>
      </c>
      <c r="H488">
        <f>_xlfn.XLOOKUP(A488,[2]Sheet1!$A:$A,[2]Sheet1!$H:$H,"non trovato")</f>
        <v>12.472239800000001</v>
      </c>
    </row>
    <row r="489" spans="1:8" x14ac:dyDescent="0.25">
      <c r="A489" s="1" t="str">
        <v>500000265382</v>
      </c>
      <c r="B489" s="1" t="str">
        <f>_xlfn.XLOOKUP(A489,[1]!TabellaContenitori[PdR],[1]!TabellaContenitori[AET])</f>
        <v>PORTUENSE</v>
      </c>
      <c r="C489" s="1" t="str">
        <f>_xlfn.XLOOKUP(A489,[1]!TabellaContenitori[PdR],[1]!TabellaContenitori[Numero civico])</f>
        <v>525</v>
      </c>
      <c r="D489" s="1" t="str">
        <f t="shared" si="14"/>
        <v>PORTUENSE, 525, Roma</v>
      </c>
      <c r="E489" s="1" t="str">
        <f t="shared" si="15"/>
        <v>PORTUENSE</v>
      </c>
      <c r="F489" s="1" t="str">
        <f>_xlfn.XLOOKUP(B489,[1]!Tabella_N_Assi[Indirizzo],[1]!Tabella_N_Assi[Tipo Mezzo Preferenziale],"non trovato")</f>
        <v>non trovato</v>
      </c>
      <c r="G489">
        <f>_xlfn.XLOOKUP(A489,[2]Sheet1!$A:$A,[2]Sheet1!$G:$G,"non trovato")</f>
        <v>41.870518400000002</v>
      </c>
      <c r="H489">
        <f>_xlfn.XLOOKUP(A489,[2]Sheet1!$A:$A,[2]Sheet1!$H:$H,"non trovato")</f>
        <v>12.4653882</v>
      </c>
    </row>
    <row r="490" spans="1:8" x14ac:dyDescent="0.25">
      <c r="A490" s="1" t="str">
        <v>500000094005</v>
      </c>
      <c r="B490" s="1" t="str">
        <f>_xlfn.XLOOKUP(A490,[1]!TabellaContenitori[PdR],[1]!TabellaContenitori[AET])</f>
        <v>FERMI</v>
      </c>
      <c r="C490" s="1" t="str">
        <f>_xlfn.XLOOKUP(A490,[1]!TabellaContenitori[PdR],[1]!TabellaContenitori[Numero civico])</f>
        <v>21</v>
      </c>
      <c r="D490" s="1" t="str">
        <f t="shared" si="14"/>
        <v>FERMI, 21, Roma</v>
      </c>
      <c r="E490" s="1" t="str">
        <f t="shared" si="15"/>
        <v>FERMI</v>
      </c>
      <c r="F490" s="1" t="str">
        <f>_xlfn.XLOOKUP(B490,[1]!Tabella_N_Assi[Indirizzo],[1]!Tabella_N_Assi[Tipo Mezzo Preferenziale],"non trovato")</f>
        <v>non trovato</v>
      </c>
      <c r="G490">
        <f>_xlfn.XLOOKUP(A490,[2]Sheet1!$A:$A,[2]Sheet1!$G:$G,"non trovato")</f>
        <v>41.865532999999999</v>
      </c>
      <c r="H490">
        <f>_xlfn.XLOOKUP(A490,[2]Sheet1!$A:$A,[2]Sheet1!$H:$H,"non trovato")</f>
        <v>12.4750234</v>
      </c>
    </row>
    <row r="491" spans="1:8" x14ac:dyDescent="0.25">
      <c r="A491" s="1" t="str">
        <v>500000094205</v>
      </c>
      <c r="B491" s="1" t="str">
        <f>_xlfn.XLOOKUP(A491,[1]!TabellaContenitori[PdR],[1]!TabellaContenitori[AET])</f>
        <v>FERMI</v>
      </c>
      <c r="C491" s="1" t="str">
        <f>_xlfn.XLOOKUP(A491,[1]!TabellaContenitori[PdR],[1]!TabellaContenitori[Numero civico])</f>
        <v>33</v>
      </c>
      <c r="D491" s="1" t="str">
        <f t="shared" si="14"/>
        <v>FERMI, 33, Roma</v>
      </c>
      <c r="E491" s="1" t="str">
        <f t="shared" si="15"/>
        <v>FERMI</v>
      </c>
      <c r="F491" s="1" t="str">
        <f>_xlfn.XLOOKUP(B491,[1]!Tabella_N_Assi[Indirizzo],[1]!Tabella_N_Assi[Tipo Mezzo Preferenziale],"non trovato")</f>
        <v>non trovato</v>
      </c>
      <c r="G491">
        <f>_xlfn.XLOOKUP(A491,[2]Sheet1!$A:$A,[2]Sheet1!$G:$G,"non trovato")</f>
        <v>41.866013600000002</v>
      </c>
      <c r="H491">
        <f>_xlfn.XLOOKUP(A491,[2]Sheet1!$A:$A,[2]Sheet1!$H:$H,"non trovato")</f>
        <v>12.4715598</v>
      </c>
    </row>
    <row r="492" spans="1:8" x14ac:dyDescent="0.25">
      <c r="A492" s="1" t="str">
        <v>500000094210</v>
      </c>
      <c r="B492" s="1" t="str">
        <f>_xlfn.XLOOKUP(A492,[1]!TabellaContenitori[PdR],[1]!TabellaContenitori[AET])</f>
        <v>FERMI</v>
      </c>
      <c r="C492" s="1" t="str">
        <f>_xlfn.XLOOKUP(A492,[1]!TabellaContenitori[PdR],[1]!TabellaContenitori[Numero civico])</f>
        <v>112</v>
      </c>
      <c r="D492" s="1" t="str">
        <f t="shared" si="14"/>
        <v>FERMI, 112, Roma</v>
      </c>
      <c r="E492" s="1" t="str">
        <f t="shared" si="15"/>
        <v>FERMI</v>
      </c>
      <c r="F492" s="1" t="str">
        <f>_xlfn.XLOOKUP(B492,[1]!Tabella_N_Assi[Indirizzo],[1]!Tabella_N_Assi[Tipo Mezzo Preferenziale],"non trovato")</f>
        <v>non trovato</v>
      </c>
      <c r="G492">
        <f>_xlfn.XLOOKUP(A492,[2]Sheet1!$A:$A,[2]Sheet1!$G:$G,"non trovato")</f>
        <v>41.866013600000002</v>
      </c>
      <c r="H492">
        <f>_xlfn.XLOOKUP(A492,[2]Sheet1!$A:$A,[2]Sheet1!$H:$H,"non trovato")</f>
        <v>12.4715598</v>
      </c>
    </row>
    <row r="493" spans="1:8" x14ac:dyDescent="0.25">
      <c r="A493" s="1" t="str">
        <v>500000110843</v>
      </c>
      <c r="B493" s="1" t="str">
        <f>_xlfn.XLOOKUP(A493,[1]!TabellaContenitori[PdR],[1]!TabellaContenitori[AET])</f>
        <v>FERMI</v>
      </c>
      <c r="C493" s="1" t="str">
        <f>_xlfn.XLOOKUP(A493,[1]!TabellaContenitori[PdR],[1]!TabellaContenitori[Numero civico])</f>
        <v>60</v>
      </c>
      <c r="D493" s="1" t="str">
        <f t="shared" si="14"/>
        <v>FERMI, 60, Roma</v>
      </c>
      <c r="E493" s="1" t="str">
        <f t="shared" si="15"/>
        <v>FERMI</v>
      </c>
      <c r="F493" s="1" t="str">
        <f>_xlfn.XLOOKUP(B493,[1]!Tabella_N_Assi[Indirizzo],[1]!Tabella_N_Assi[Tipo Mezzo Preferenziale],"non trovato")</f>
        <v>non trovato</v>
      </c>
      <c r="G493">
        <f>_xlfn.XLOOKUP(A493,[2]Sheet1!$A:$A,[2]Sheet1!$G:$G,"non trovato")</f>
        <v>41.862604599999997</v>
      </c>
      <c r="H493">
        <f>_xlfn.XLOOKUP(A493,[2]Sheet1!$A:$A,[2]Sheet1!$H:$H,"non trovato")</f>
        <v>12.471681</v>
      </c>
    </row>
    <row r="494" spans="1:8" x14ac:dyDescent="0.25">
      <c r="A494" s="1" t="str">
        <v>500000015957</v>
      </c>
      <c r="B494" s="1" t="str">
        <f>_xlfn.XLOOKUP(A494,[1]!TabellaContenitori[PdR],[1]!TabellaContenitori[AET])</f>
        <v>FERMI</v>
      </c>
      <c r="C494" s="1" t="str">
        <f>_xlfn.XLOOKUP(A494,[1]!TabellaContenitori[PdR],[1]!TabellaContenitori[Numero civico])</f>
        <v>6</v>
      </c>
      <c r="D494" s="1" t="str">
        <f t="shared" si="14"/>
        <v>FERMI, 6, Roma</v>
      </c>
      <c r="E494" s="1" t="str">
        <f t="shared" si="15"/>
        <v>FERMI</v>
      </c>
      <c r="F494" s="1" t="str">
        <f>_xlfn.XLOOKUP(B494,[1]!Tabella_N_Assi[Indirizzo],[1]!Tabella_N_Assi[Tipo Mezzo Preferenziale],"non trovato")</f>
        <v>non trovato</v>
      </c>
      <c r="G494">
        <f>_xlfn.XLOOKUP(A494,[2]Sheet1!$A:$A,[2]Sheet1!$G:$G,"non trovato")</f>
        <v>41.8631125</v>
      </c>
      <c r="H494">
        <f>_xlfn.XLOOKUP(A494,[2]Sheet1!$A:$A,[2]Sheet1!$H:$H,"non trovato")</f>
        <v>12.4708924</v>
      </c>
    </row>
    <row r="495" spans="1:8" x14ac:dyDescent="0.25">
      <c r="A495" s="1" t="str">
        <v>500000068611</v>
      </c>
      <c r="B495" s="1" t="str">
        <f>_xlfn.XLOOKUP(A495,[1]!TabellaContenitori[PdR],[1]!TabellaContenitori[AET])</f>
        <v>MARCONI</v>
      </c>
      <c r="C495" s="1" t="str">
        <f>_xlfn.XLOOKUP(A495,[1]!TabellaContenitori[PdR],[1]!TabellaContenitori[Numero civico])</f>
        <v>304</v>
      </c>
      <c r="D495" s="1" t="str">
        <f t="shared" si="14"/>
        <v>MARCONI, 304, Roma</v>
      </c>
      <c r="E495" s="1" t="str">
        <f t="shared" si="15"/>
        <v>MARCONI</v>
      </c>
      <c r="F495" s="1" t="str">
        <f>_xlfn.XLOOKUP(B495,[1]!Tabella_N_Assi[Indirizzo],[1]!Tabella_N_Assi[Tipo Mezzo Preferenziale],"non trovato")</f>
        <v>non trovato</v>
      </c>
      <c r="G495">
        <f>_xlfn.XLOOKUP(A495,[2]Sheet1!$A:$A,[2]Sheet1!$G:$G,"non trovato")</f>
        <v>41.862156400000003</v>
      </c>
      <c r="H495">
        <f>_xlfn.XLOOKUP(A495,[2]Sheet1!$A:$A,[2]Sheet1!$H:$H,"non trovato")</f>
        <v>12.4696275</v>
      </c>
    </row>
    <row r="496" spans="1:8" x14ac:dyDescent="0.25">
      <c r="A496" s="1" t="str">
        <v>500000047227</v>
      </c>
      <c r="B496" s="1" t="str">
        <f>_xlfn.XLOOKUP(A496,[1]!TabellaContenitori[PdR],[1]!TabellaContenitori[AET])</f>
        <v>FERMI</v>
      </c>
      <c r="C496" s="1" t="str">
        <f>_xlfn.XLOOKUP(A496,[1]!TabellaContenitori[PdR],[1]!TabellaContenitori[Numero civico])</f>
        <v>74</v>
      </c>
      <c r="D496" s="1" t="str">
        <f t="shared" si="14"/>
        <v>FERMI, 74, Roma</v>
      </c>
      <c r="E496" s="1" t="str">
        <f t="shared" si="15"/>
        <v>FERMI</v>
      </c>
      <c r="F496" s="1" t="str">
        <f>_xlfn.XLOOKUP(B496,[1]!Tabella_N_Assi[Indirizzo],[1]!Tabella_N_Assi[Tipo Mezzo Preferenziale],"non trovato")</f>
        <v>non trovato</v>
      </c>
      <c r="G496">
        <f>_xlfn.XLOOKUP(A496,[2]Sheet1!$A:$A,[2]Sheet1!$G:$G,"non trovato")</f>
        <v>41.864691899999997</v>
      </c>
      <c r="H496">
        <f>_xlfn.XLOOKUP(A496,[2]Sheet1!$A:$A,[2]Sheet1!$H:$H,"non trovato")</f>
        <v>12.472185700000001</v>
      </c>
    </row>
    <row r="497" spans="1:8" x14ac:dyDescent="0.25">
      <c r="A497" s="1" t="str">
        <v>500000069610</v>
      </c>
      <c r="B497" s="1" t="str">
        <f>_xlfn.XLOOKUP(A497,[1]!TabellaContenitori[PdR],[1]!TabellaContenitori[AET])</f>
        <v>MARCONI</v>
      </c>
      <c r="C497" s="1" t="str">
        <f>_xlfn.XLOOKUP(A497,[1]!TabellaContenitori[PdR],[1]!TabellaContenitori[Numero civico])</f>
        <v>30</v>
      </c>
      <c r="D497" s="1" t="str">
        <f t="shared" si="14"/>
        <v>MARCONI, 30, Roma</v>
      </c>
      <c r="E497" s="1" t="str">
        <f t="shared" si="15"/>
        <v>MARCONI</v>
      </c>
      <c r="F497" s="1" t="str">
        <f>_xlfn.XLOOKUP(B497,[1]!Tabella_N_Assi[Indirizzo],[1]!Tabella_N_Assi[Tipo Mezzo Preferenziale],"non trovato")</f>
        <v>non trovato</v>
      </c>
      <c r="G497">
        <f>_xlfn.XLOOKUP(A497,[2]Sheet1!$A:$A,[2]Sheet1!$G:$G,"non trovato")</f>
        <v>41.861012600000002</v>
      </c>
      <c r="H497">
        <f>_xlfn.XLOOKUP(A497,[2]Sheet1!$A:$A,[2]Sheet1!$H:$H,"non trovato")</f>
        <v>12.465145700000001</v>
      </c>
    </row>
    <row r="498" spans="1:8" x14ac:dyDescent="0.25">
      <c r="A498" s="1" t="str">
        <v>500000087646</v>
      </c>
      <c r="B498" s="1" t="str">
        <f>_xlfn.XLOOKUP(A498,[1]!TabellaContenitori[PdR],[1]!TabellaContenitori[AET])</f>
        <v>ODERISI DA GUBBIO</v>
      </c>
      <c r="C498" s="1" t="str">
        <f>_xlfn.XLOOKUP(A498,[1]!TabellaContenitori[PdR],[1]!TabellaContenitori[Numero civico])</f>
        <v>109</v>
      </c>
      <c r="D498" s="1" t="str">
        <f t="shared" si="14"/>
        <v>ODERISI DA GUBBIO, 109, Roma</v>
      </c>
      <c r="E498" s="1" t="str">
        <f t="shared" si="15"/>
        <v>ODERISI DA GUBBIO</v>
      </c>
      <c r="F498" s="1" t="str">
        <f>_xlfn.XLOOKUP(B498,[1]!Tabella_N_Assi[Indirizzo],[1]!Tabella_N_Assi[Tipo Mezzo Preferenziale],"non trovato")</f>
        <v>non trovato</v>
      </c>
      <c r="G498">
        <f>_xlfn.XLOOKUP(A498,[2]Sheet1!$A:$A,[2]Sheet1!$G:$G,"non trovato")</f>
        <v>41.8635965</v>
      </c>
      <c r="H498">
        <f>_xlfn.XLOOKUP(A498,[2]Sheet1!$A:$A,[2]Sheet1!$H:$H,"non trovato")</f>
        <v>12.464426700000001</v>
      </c>
    </row>
    <row r="499" spans="1:8" x14ac:dyDescent="0.25">
      <c r="A499" s="1" t="str">
        <v>500000059426</v>
      </c>
      <c r="B499" s="1" t="str">
        <f>_xlfn.XLOOKUP(A499,[1]!TabellaContenitori[PdR],[1]!TabellaContenitori[AET])</f>
        <v>MARCONI</v>
      </c>
      <c r="C499" s="1" t="str">
        <f>_xlfn.XLOOKUP(A499,[1]!TabellaContenitori[PdR],[1]!TabellaContenitori[Numero civico])</f>
        <v>62</v>
      </c>
      <c r="D499" s="1" t="str">
        <f t="shared" si="14"/>
        <v>MARCONI, 62, Roma</v>
      </c>
      <c r="E499" s="1" t="str">
        <f t="shared" si="15"/>
        <v>MARCONI</v>
      </c>
      <c r="F499" s="1" t="str">
        <f>_xlfn.XLOOKUP(B499,[1]!Tabella_N_Assi[Indirizzo],[1]!Tabella_N_Assi[Tipo Mezzo Preferenziale],"non trovato")</f>
        <v>non trovato</v>
      </c>
      <c r="G499">
        <f>_xlfn.XLOOKUP(A499,[2]Sheet1!$A:$A,[2]Sheet1!$G:$G,"non trovato")</f>
        <v>41.862639000000001</v>
      </c>
      <c r="H499">
        <f>_xlfn.XLOOKUP(A499,[2]Sheet1!$A:$A,[2]Sheet1!$H:$H,"non trovato")</f>
        <v>12.4655162</v>
      </c>
    </row>
    <row r="500" spans="1:8" x14ac:dyDescent="0.25">
      <c r="A500" s="1" t="str">
        <v>500000087653</v>
      </c>
      <c r="B500" s="1" t="str">
        <f>_xlfn.XLOOKUP(A500,[1]!TabellaContenitori[PdR],[1]!TabellaContenitori[AET])</f>
        <v>ODERISI DA GUBBIO</v>
      </c>
      <c r="C500" s="1" t="str">
        <f>_xlfn.XLOOKUP(A500,[1]!TabellaContenitori[PdR],[1]!TabellaContenitori[Numero civico])</f>
        <v>224</v>
      </c>
      <c r="D500" s="1" t="str">
        <f t="shared" si="14"/>
        <v>ODERISI DA GUBBIO, 224, Roma</v>
      </c>
      <c r="E500" s="1" t="str">
        <f t="shared" si="15"/>
        <v>ODERISI DA GUBBIO</v>
      </c>
      <c r="F500" s="1" t="str">
        <f>_xlfn.XLOOKUP(B500,[1]!Tabella_N_Assi[Indirizzo],[1]!Tabella_N_Assi[Tipo Mezzo Preferenziale],"non trovato")</f>
        <v>non trovato</v>
      </c>
      <c r="G500">
        <f>_xlfn.XLOOKUP(A500,[2]Sheet1!$A:$A,[2]Sheet1!$G:$G,"non trovato")</f>
        <v>41.8635965</v>
      </c>
      <c r="H500">
        <f>_xlfn.XLOOKUP(A500,[2]Sheet1!$A:$A,[2]Sheet1!$H:$H,"non trovato")</f>
        <v>12.464426700000001</v>
      </c>
    </row>
    <row r="501" spans="1:8" x14ac:dyDescent="0.25">
      <c r="A501" s="1" t="str">
        <v>500000087641</v>
      </c>
      <c r="B501" s="1" t="str">
        <f>_xlfn.XLOOKUP(A501,[1]!TabellaContenitori[PdR],[1]!TabellaContenitori[AET])</f>
        <v>ODERISI DA GUBBIO</v>
      </c>
      <c r="C501" s="1" t="str">
        <f>_xlfn.XLOOKUP(A501,[1]!TabellaContenitori[PdR],[1]!TabellaContenitori[Numero civico])</f>
        <v>49</v>
      </c>
      <c r="D501" s="1" t="str">
        <f t="shared" si="14"/>
        <v>ODERISI DA GUBBIO, 49, Roma</v>
      </c>
      <c r="E501" s="1" t="str">
        <f t="shared" si="15"/>
        <v>ODERISI DA GUBBIO</v>
      </c>
      <c r="F501" s="1" t="str">
        <f>_xlfn.XLOOKUP(B501,[1]!Tabella_N_Assi[Indirizzo],[1]!Tabella_N_Assi[Tipo Mezzo Preferenziale],"non trovato")</f>
        <v>non trovato</v>
      </c>
      <c r="G501">
        <f>_xlfn.XLOOKUP(A501,[2]Sheet1!$A:$A,[2]Sheet1!$G:$G,"non trovato")</f>
        <v>41.8635965</v>
      </c>
      <c r="H501">
        <f>_xlfn.XLOOKUP(A501,[2]Sheet1!$A:$A,[2]Sheet1!$H:$H,"non trovato")</f>
        <v>12.464426700000001</v>
      </c>
    </row>
    <row r="502" spans="1:8" x14ac:dyDescent="0.25">
      <c r="A502" s="1" t="str">
        <v>500000087637</v>
      </c>
      <c r="B502" s="1" t="str">
        <f>_xlfn.XLOOKUP(A502,[1]!TabellaContenitori[PdR],[1]!TabellaContenitori[AET])</f>
        <v>ODERISI DA GUBBIO</v>
      </c>
      <c r="C502" s="1" t="str">
        <f>_xlfn.XLOOKUP(A502,[1]!TabellaContenitori[PdR],[1]!TabellaContenitori[Numero civico])</f>
        <v>31</v>
      </c>
      <c r="D502" s="1" t="str">
        <f t="shared" si="14"/>
        <v>ODERISI DA GUBBIO, 31, Roma</v>
      </c>
      <c r="E502" s="1" t="str">
        <f t="shared" si="15"/>
        <v>ODERISI DA GUBBIO</v>
      </c>
      <c r="F502" s="1" t="str">
        <f>_xlfn.XLOOKUP(B502,[1]!Tabella_N_Assi[Indirizzo],[1]!Tabella_N_Assi[Tipo Mezzo Preferenziale],"non trovato")</f>
        <v>non trovato</v>
      </c>
      <c r="G502">
        <f>_xlfn.XLOOKUP(A502,[2]Sheet1!$A:$A,[2]Sheet1!$G:$G,"non trovato")</f>
        <v>41.8635965</v>
      </c>
      <c r="H502">
        <f>_xlfn.XLOOKUP(A502,[2]Sheet1!$A:$A,[2]Sheet1!$H:$H,"non trovato")</f>
        <v>12.464426700000001</v>
      </c>
    </row>
    <row r="503" spans="1:8" x14ac:dyDescent="0.25">
      <c r="A503" s="1" t="str">
        <v>500000047219</v>
      </c>
      <c r="B503" s="1" t="str">
        <f>_xlfn.XLOOKUP(A503,[1]!TabellaContenitori[PdR],[1]!TabellaContenitori[AET])</f>
        <v>MARCONI</v>
      </c>
      <c r="C503" s="1" t="str">
        <f>_xlfn.XLOOKUP(A503,[1]!TabellaContenitori[PdR],[1]!TabellaContenitori[Numero civico])</f>
        <v>40</v>
      </c>
      <c r="D503" s="1" t="str">
        <f t="shared" si="14"/>
        <v>MARCONI, 40, Roma</v>
      </c>
      <c r="E503" s="1" t="str">
        <f t="shared" si="15"/>
        <v>MARCONI</v>
      </c>
      <c r="F503" s="1" t="str">
        <f>_xlfn.XLOOKUP(B503,[1]!Tabella_N_Assi[Indirizzo],[1]!Tabella_N_Assi[Tipo Mezzo Preferenziale],"non trovato")</f>
        <v>non trovato</v>
      </c>
      <c r="G503">
        <f>_xlfn.XLOOKUP(A503,[2]Sheet1!$A:$A,[2]Sheet1!$G:$G,"non trovato")</f>
        <v>41.864205499999997</v>
      </c>
      <c r="H503">
        <f>_xlfn.XLOOKUP(A503,[2]Sheet1!$A:$A,[2]Sheet1!$H:$H,"non trovato")</f>
        <v>12.4692943</v>
      </c>
    </row>
    <row r="504" spans="1:8" x14ac:dyDescent="0.25">
      <c r="A504" s="1" t="str">
        <v>500000094511</v>
      </c>
      <c r="B504" s="1" t="str">
        <f>_xlfn.XLOOKUP(A504,[1]!TabellaContenitori[PdR],[1]!TabellaContenitori[AET])</f>
        <v>FRATTINI</v>
      </c>
      <c r="C504" s="1" t="str">
        <f>_xlfn.XLOOKUP(A504,[1]!TabellaContenitori[PdR],[1]!TabellaContenitori[Numero civico])</f>
        <v>92</v>
      </c>
      <c r="D504" s="1" t="str">
        <f t="shared" si="14"/>
        <v>FRATTINI, 92, Roma</v>
      </c>
      <c r="E504" s="1" t="str">
        <f t="shared" si="15"/>
        <v>FRATTINI</v>
      </c>
      <c r="F504" s="1" t="str">
        <f>_xlfn.XLOOKUP(B504,[1]!Tabella_N_Assi[Indirizzo],[1]!Tabella_N_Assi[Tipo Mezzo Preferenziale],"non trovato")</f>
        <v>non trovato</v>
      </c>
      <c r="G504">
        <f>_xlfn.XLOOKUP(A504,[2]Sheet1!$A:$A,[2]Sheet1!$G:$G,"non trovato")</f>
        <v>41.853628999999998</v>
      </c>
      <c r="H504">
        <f>_xlfn.XLOOKUP(A504,[2]Sheet1!$A:$A,[2]Sheet1!$H:$H,"non trovato")</f>
        <v>12.4476464</v>
      </c>
    </row>
    <row r="505" spans="1:8" x14ac:dyDescent="0.25">
      <c r="A505" s="1" t="str">
        <v>500000066429</v>
      </c>
      <c r="B505" s="1" t="str">
        <f>_xlfn.XLOOKUP(A505,[1]!TabellaContenitori[PdR],[1]!TabellaContenitori[AET])</f>
        <v>FRATTINI</v>
      </c>
      <c r="C505" s="1" t="str">
        <f>_xlfn.XLOOKUP(A505,[1]!TabellaContenitori[PdR],[1]!TabellaContenitori[Numero civico])</f>
        <v>61</v>
      </c>
      <c r="D505" s="1" t="str">
        <f t="shared" si="14"/>
        <v>FRATTINI, 61, Roma</v>
      </c>
      <c r="E505" s="1" t="str">
        <f t="shared" si="15"/>
        <v>FRATTINI</v>
      </c>
      <c r="F505" s="1" t="str">
        <f>_xlfn.XLOOKUP(B505,[1]!Tabella_N_Assi[Indirizzo],[1]!Tabella_N_Assi[Tipo Mezzo Preferenziale],"non trovato")</f>
        <v>non trovato</v>
      </c>
      <c r="G505">
        <f>_xlfn.XLOOKUP(A505,[2]Sheet1!$A:$A,[2]Sheet1!$G:$G,"non trovato")</f>
        <v>41.855439699999998</v>
      </c>
      <c r="H505">
        <f>_xlfn.XLOOKUP(A505,[2]Sheet1!$A:$A,[2]Sheet1!$H:$H,"non trovato")</f>
        <v>12.4485481</v>
      </c>
    </row>
    <row r="506" spans="1:8" x14ac:dyDescent="0.25">
      <c r="A506" s="1" t="str">
        <v>500000125826</v>
      </c>
      <c r="B506" s="1" t="str">
        <f>_xlfn.XLOOKUP(A506,[1]!TabellaContenitori[PdR],[1]!TabellaContenitori[AET])</f>
        <v>FRATTINI</v>
      </c>
      <c r="C506" s="1" t="str">
        <f>_xlfn.XLOOKUP(A506,[1]!TabellaContenitori[PdR],[1]!TabellaContenitori[Numero civico])</f>
        <v>6</v>
      </c>
      <c r="D506" s="1" t="str">
        <f t="shared" si="14"/>
        <v>FRATTINI, 6, Roma</v>
      </c>
      <c r="E506" s="1" t="str">
        <f t="shared" si="15"/>
        <v>FRATTINI</v>
      </c>
      <c r="F506" s="1" t="str">
        <f>_xlfn.XLOOKUP(B506,[1]!Tabella_N_Assi[Indirizzo],[1]!Tabella_N_Assi[Tipo Mezzo Preferenziale],"non trovato")</f>
        <v>non trovato</v>
      </c>
      <c r="G506">
        <f>_xlfn.XLOOKUP(A506,[2]Sheet1!$A:$A,[2]Sheet1!$G:$G,"non trovato")</f>
        <v>41.854479699999999</v>
      </c>
      <c r="H506">
        <f>_xlfn.XLOOKUP(A506,[2]Sheet1!$A:$A,[2]Sheet1!$H:$H,"non trovato")</f>
        <v>12.450822499999999</v>
      </c>
    </row>
    <row r="507" spans="1:8" x14ac:dyDescent="0.25">
      <c r="A507" s="1" t="str">
        <v>500000019219</v>
      </c>
      <c r="B507" s="1" t="str">
        <f>_xlfn.XLOOKUP(A507,[1]!TabellaContenitori[PdR],[1]!TabellaContenitori[AET])</f>
        <v>VIGNA PIA</v>
      </c>
      <c r="C507" s="1" t="str">
        <f>_xlfn.XLOOKUP(A507,[1]!TabellaContenitori[PdR],[1]!TabellaContenitori[Numero civico])</f>
        <v>9</v>
      </c>
      <c r="D507" s="1" t="str">
        <f t="shared" si="14"/>
        <v>VIGNA PIA, 9, Roma</v>
      </c>
      <c r="E507" s="1" t="str">
        <f t="shared" si="15"/>
        <v>VIGNA PIA</v>
      </c>
      <c r="F507" s="1" t="str">
        <f>_xlfn.XLOOKUP(B507,[1]!Tabella_N_Assi[Indirizzo],[1]!Tabella_N_Assi[Tipo Mezzo Preferenziale],"non trovato")</f>
        <v>non trovato</v>
      </c>
      <c r="G507">
        <f>_xlfn.XLOOKUP(A507,[2]Sheet1!$A:$A,[2]Sheet1!$G:$G,"non trovato")</f>
        <v>41.861824900000002</v>
      </c>
      <c r="H507">
        <f>_xlfn.XLOOKUP(A507,[2]Sheet1!$A:$A,[2]Sheet1!$H:$H,"non trovato")</f>
        <v>12.453670799999999</v>
      </c>
    </row>
    <row r="508" spans="1:8" x14ac:dyDescent="0.25">
      <c r="A508" s="1" t="str">
        <v>500000061453</v>
      </c>
      <c r="B508" s="1" t="str">
        <f>_xlfn.XLOOKUP(A508,[1]!TabellaContenitori[PdR],[1]!TabellaContenitori[AET])</f>
        <v>PORTUENSE</v>
      </c>
      <c r="C508" s="1" t="str">
        <f>_xlfn.XLOOKUP(A508,[1]!TabellaContenitori[PdR],[1]!TabellaContenitori[Numero civico])</f>
        <v>27</v>
      </c>
      <c r="D508" s="1" t="str">
        <f t="shared" si="14"/>
        <v>PORTUENSE, 27, Roma</v>
      </c>
      <c r="E508" s="1" t="str">
        <f t="shared" si="15"/>
        <v>PORTUENSE</v>
      </c>
      <c r="F508" s="1" t="str">
        <f>_xlfn.XLOOKUP(B508,[1]!Tabella_N_Assi[Indirizzo],[1]!Tabella_N_Assi[Tipo Mezzo Preferenziale],"non trovato")</f>
        <v>non trovato</v>
      </c>
      <c r="G508">
        <f>_xlfn.XLOOKUP(A508,[2]Sheet1!$A:$A,[2]Sheet1!$G:$G,"non trovato")</f>
        <v>41.857109999999999</v>
      </c>
      <c r="H508">
        <f>_xlfn.XLOOKUP(A508,[2]Sheet1!$A:$A,[2]Sheet1!$H:$H,"non trovato")</f>
        <v>12.4542901</v>
      </c>
    </row>
    <row r="509" spans="1:8" x14ac:dyDescent="0.25">
      <c r="A509" s="1" t="str">
        <v>500000047131</v>
      </c>
      <c r="B509" s="1" t="str">
        <f>_xlfn.XLOOKUP(A509,[1]!TabellaContenitori[PdR],[1]!TabellaContenitori[AET])</f>
        <v>VIGNA PIA</v>
      </c>
      <c r="C509" s="1" t="str">
        <f>_xlfn.XLOOKUP(A509,[1]!TabellaContenitori[PdR],[1]!TabellaContenitori[Numero civico])</f>
        <v>63</v>
      </c>
      <c r="D509" s="1" t="str">
        <f t="shared" si="14"/>
        <v>VIGNA PIA, 63, Roma</v>
      </c>
      <c r="E509" s="1" t="str">
        <f t="shared" si="15"/>
        <v>VIGNA PIA</v>
      </c>
      <c r="F509" s="1" t="str">
        <f>_xlfn.XLOOKUP(B509,[1]!Tabella_N_Assi[Indirizzo],[1]!Tabella_N_Assi[Tipo Mezzo Preferenziale],"non trovato")</f>
        <v>non trovato</v>
      </c>
      <c r="G509">
        <f>_xlfn.XLOOKUP(A509,[2]Sheet1!$A:$A,[2]Sheet1!$G:$G,"non trovato")</f>
        <v>41.859523299999999</v>
      </c>
      <c r="H509">
        <f>_xlfn.XLOOKUP(A509,[2]Sheet1!$A:$A,[2]Sheet1!$H:$H,"non trovato")</f>
        <v>12.4548323</v>
      </c>
    </row>
    <row r="510" spans="1:8" x14ac:dyDescent="0.25">
      <c r="A510" s="1" t="str">
        <v>500000058111</v>
      </c>
      <c r="B510" s="1" t="str">
        <f>_xlfn.XLOOKUP(A510,[1]!TabellaContenitori[PdR],[1]!TabellaContenitori[AET])</f>
        <v>VIGNA PIA</v>
      </c>
      <c r="C510" s="1" t="str">
        <f>_xlfn.XLOOKUP(A510,[1]!TabellaContenitori[PdR],[1]!TabellaContenitori[Numero civico])</f>
        <v>22</v>
      </c>
      <c r="D510" s="1" t="str">
        <f t="shared" si="14"/>
        <v>VIGNA PIA, 22, Roma</v>
      </c>
      <c r="E510" s="1" t="str">
        <f t="shared" si="15"/>
        <v>VIGNA PIA</v>
      </c>
      <c r="F510" s="1" t="str">
        <f>_xlfn.XLOOKUP(B510,[1]!Tabella_N_Assi[Indirizzo],[1]!Tabella_N_Assi[Tipo Mezzo Preferenziale],"non trovato")</f>
        <v>non trovato</v>
      </c>
      <c r="G510">
        <f>_xlfn.XLOOKUP(A510,[2]Sheet1!$A:$A,[2]Sheet1!$G:$G,"non trovato")</f>
        <v>41.858534300000002</v>
      </c>
      <c r="H510">
        <f>_xlfn.XLOOKUP(A510,[2]Sheet1!$A:$A,[2]Sheet1!$H:$H,"non trovato")</f>
        <v>12.458538300000001</v>
      </c>
    </row>
    <row r="511" spans="1:8" x14ac:dyDescent="0.25">
      <c r="A511" s="1" t="str">
        <v>500000013501</v>
      </c>
      <c r="B511" s="1" t="str">
        <f>_xlfn.XLOOKUP(A511,[1]!TabellaContenitori[PdR],[1]!TabellaContenitori[AET])</f>
        <v>VIGNA PIA</v>
      </c>
      <c r="C511" s="1" t="str">
        <f>_xlfn.XLOOKUP(A511,[1]!TabellaContenitori[PdR],[1]!TabellaContenitori[Numero civico])</f>
        <v>10</v>
      </c>
      <c r="D511" s="1" t="str">
        <f t="shared" si="14"/>
        <v>VIGNA PIA, 10, Roma</v>
      </c>
      <c r="E511" s="1" t="str">
        <f t="shared" si="15"/>
        <v>VIGNA PIA</v>
      </c>
      <c r="F511" s="1" t="str">
        <f>_xlfn.XLOOKUP(B511,[1]!Tabella_N_Assi[Indirizzo],[1]!Tabella_N_Assi[Tipo Mezzo Preferenziale],"non trovato")</f>
        <v>non trovato</v>
      </c>
      <c r="G511">
        <f>_xlfn.XLOOKUP(A511,[2]Sheet1!$A:$A,[2]Sheet1!$G:$G,"non trovato")</f>
        <v>41.860001599999997</v>
      </c>
      <c r="H511">
        <f>_xlfn.XLOOKUP(A511,[2]Sheet1!$A:$A,[2]Sheet1!$H:$H,"non trovato")</f>
        <v>12.458343599999999</v>
      </c>
    </row>
    <row r="512" spans="1:8" x14ac:dyDescent="0.25">
      <c r="A512" s="1" t="str">
        <v>500000097780</v>
      </c>
      <c r="B512" s="1" t="str">
        <f>_xlfn.XLOOKUP(A512,[1]!TabellaContenitori[PdR],[1]!TabellaContenitori[AET])</f>
        <v>PORTUENSE</v>
      </c>
      <c r="C512" s="1" t="str">
        <f>_xlfn.XLOOKUP(A512,[1]!TabellaContenitori[PdR],[1]!TabellaContenitori[Numero civico])</f>
        <v>329</v>
      </c>
      <c r="D512" s="1" t="str">
        <f t="shared" si="14"/>
        <v>PORTUENSE, 329, Roma</v>
      </c>
      <c r="E512" s="1" t="str">
        <f t="shared" si="15"/>
        <v>PORTUENSE</v>
      </c>
      <c r="F512" s="1" t="str">
        <f>_xlfn.XLOOKUP(B512,[1]!Tabella_N_Assi[Indirizzo],[1]!Tabella_N_Assi[Tipo Mezzo Preferenziale],"non trovato")</f>
        <v>non trovato</v>
      </c>
      <c r="G512">
        <f>_xlfn.XLOOKUP(A512,[2]Sheet1!$A:$A,[2]Sheet1!$G:$G,"non trovato")</f>
        <v>41.870518400000002</v>
      </c>
      <c r="H512">
        <f>_xlfn.XLOOKUP(A512,[2]Sheet1!$A:$A,[2]Sheet1!$H:$H,"non trovato")</f>
        <v>12.4653882</v>
      </c>
    </row>
    <row r="513" spans="1:8" x14ac:dyDescent="0.25">
      <c r="A513" s="1" t="str">
        <v>500000062721</v>
      </c>
      <c r="B513" s="1" t="str">
        <f>_xlfn.XLOOKUP(A513,[1]!TabellaContenitori[PdR],[1]!TabellaContenitori[AET])</f>
        <v>PORTUENSE</v>
      </c>
      <c r="C513" s="1" t="str">
        <f>_xlfn.XLOOKUP(A513,[1]!TabellaContenitori[PdR],[1]!TabellaContenitori[Numero civico])</f>
        <v>20</v>
      </c>
      <c r="D513" s="1" t="str">
        <f t="shared" si="14"/>
        <v>PORTUENSE, 20, Roma</v>
      </c>
      <c r="E513" s="1" t="str">
        <f t="shared" si="15"/>
        <v>PORTUENSE</v>
      </c>
      <c r="F513" s="1" t="str">
        <f>_xlfn.XLOOKUP(B513,[1]!Tabella_N_Assi[Indirizzo],[1]!Tabella_N_Assi[Tipo Mezzo Preferenziale],"non trovato")</f>
        <v>non trovato</v>
      </c>
      <c r="G513">
        <f>_xlfn.XLOOKUP(A513,[2]Sheet1!$A:$A,[2]Sheet1!$G:$G,"non trovato")</f>
        <v>41.869229199999999</v>
      </c>
      <c r="H513">
        <f>_xlfn.XLOOKUP(A513,[2]Sheet1!$A:$A,[2]Sheet1!$H:$H,"non trovato")</f>
        <v>12.462877300000001</v>
      </c>
    </row>
    <row r="514" spans="1:8" x14ac:dyDescent="0.25">
      <c r="A514" s="1" t="str">
        <v>500000097830</v>
      </c>
      <c r="B514" s="1" t="str">
        <f>_xlfn.XLOOKUP(A514,[1]!TabellaContenitori[PdR],[1]!TabellaContenitori[AET])</f>
        <v>FRATTINI</v>
      </c>
      <c r="C514" s="1" t="str">
        <f>_xlfn.XLOOKUP(A514,[1]!TabellaContenitori[PdR],[1]!TabellaContenitori[Numero civico])</f>
        <v>571</v>
      </c>
      <c r="D514" s="1" t="str">
        <f t="shared" si="14"/>
        <v>FRATTINI, 571, Roma</v>
      </c>
      <c r="E514" s="1" t="str">
        <f t="shared" si="15"/>
        <v>FRATTINI</v>
      </c>
      <c r="F514" s="1" t="str">
        <f>_xlfn.XLOOKUP(B514,[1]!Tabella_N_Assi[Indirizzo],[1]!Tabella_N_Assi[Tipo Mezzo Preferenziale],"non trovato")</f>
        <v>non trovato</v>
      </c>
      <c r="G514">
        <f>_xlfn.XLOOKUP(A514,[2]Sheet1!$A:$A,[2]Sheet1!$G:$G,"non trovato")</f>
        <v>41.870518400000002</v>
      </c>
      <c r="H514">
        <f>_xlfn.XLOOKUP(A514,[2]Sheet1!$A:$A,[2]Sheet1!$H:$H,"non trovato")</f>
        <v>12.4653882</v>
      </c>
    </row>
    <row r="515" spans="1:8" x14ac:dyDescent="0.25">
      <c r="A515" s="1" t="str">
        <v>500000204072</v>
      </c>
      <c r="B515" s="1" t="str">
        <f>_xlfn.XLOOKUP(A515,[1]!TabellaContenitori[PdR],[1]!TabellaContenitori[AET])</f>
        <v>MAGLIANA NUOVA</v>
      </c>
      <c r="C515" s="1" t="str">
        <f>_xlfn.XLOOKUP(A515,[1]!TabellaContenitori[PdR],[1]!TabellaContenitori[Numero civico])</f>
        <v>1</v>
      </c>
      <c r="D515" s="1" t="str">
        <f t="shared" ref="D515:D578" si="16">CONCATENATE(B515,", ",C515,", Roma")</f>
        <v>MAGLIANA NUOVA, 1, Roma</v>
      </c>
      <c r="E515" s="1" t="str">
        <f t="shared" ref="E515:E578" si="17">_xlfn.TEXTBEFORE(D515,",")</f>
        <v>MAGLIANA NUOVA</v>
      </c>
      <c r="F515" s="1" t="str">
        <f>_xlfn.XLOOKUP(B515,[1]!Tabella_N_Assi[Indirizzo],[1]!Tabella_N_Assi[Tipo Mezzo Preferenziale],"non trovato")</f>
        <v>non trovato</v>
      </c>
      <c r="G515">
        <f>_xlfn.XLOOKUP(A515,[2]Sheet1!$A:$A,[2]Sheet1!$G:$G,"non trovato")</f>
        <v>41.848885099999997</v>
      </c>
      <c r="H515">
        <f>_xlfn.XLOOKUP(A515,[2]Sheet1!$A:$A,[2]Sheet1!$H:$H,"non trovato")</f>
        <v>12.4638267</v>
      </c>
    </row>
    <row r="516" spans="1:8" x14ac:dyDescent="0.25">
      <c r="A516" s="1" t="str">
        <v>500000160152</v>
      </c>
      <c r="B516" s="1" t="str">
        <f>_xlfn.XLOOKUP(A516,[1]!TabellaContenitori[PdR],[1]!TabellaContenitori[AET])</f>
        <v>PONTE GALERIA - PIANA DEL SOL</v>
      </c>
      <c r="C516" s="1" t="str">
        <f>_xlfn.XLOOKUP(A516,[1]!TabellaContenitori[PdR],[1]!TabellaContenitori[Numero civico])</f>
        <v>101</v>
      </c>
      <c r="D516" s="1" t="str">
        <f t="shared" si="16"/>
        <v>PONTE GALERIA - PIANA DEL SOL, 101, Roma</v>
      </c>
      <c r="E516" s="1" t="str">
        <f t="shared" si="17"/>
        <v>PONTE GALERIA - PIANA DEL SOL</v>
      </c>
      <c r="F516" s="1" t="str">
        <f>_xlfn.XLOOKUP(B516,[1]!Tabella_N_Assi[Indirizzo],[1]!Tabella_N_Assi[Tipo Mezzo Preferenziale],"non trovato")</f>
        <v>non trovato</v>
      </c>
      <c r="G516">
        <f>_xlfn.XLOOKUP(A516,[2]Sheet1!$A:$A,[2]Sheet1!$G:$G,"non trovato")</f>
        <v>41.832974800000002</v>
      </c>
      <c r="H516">
        <f>_xlfn.XLOOKUP(A516,[2]Sheet1!$A:$A,[2]Sheet1!$H:$H,"non trovato")</f>
        <v>12.411088599999999</v>
      </c>
    </row>
    <row r="517" spans="1:8" x14ac:dyDescent="0.25">
      <c r="A517" s="1" t="str">
        <v>500000160152</v>
      </c>
      <c r="B517" s="1" t="str">
        <f>_xlfn.XLOOKUP(A517,[1]!TabellaContenitori[PdR],[1]!TabellaContenitori[AET])</f>
        <v>PONTE GALERIA - PIANA DEL SOL</v>
      </c>
      <c r="C517" s="1" t="str">
        <f>_xlfn.XLOOKUP(A517,[1]!TabellaContenitori[PdR],[1]!TabellaContenitori[Numero civico])</f>
        <v>101</v>
      </c>
      <c r="D517" s="1" t="str">
        <f t="shared" si="16"/>
        <v>PONTE GALERIA - PIANA DEL SOL, 101, Roma</v>
      </c>
      <c r="E517" s="1" t="str">
        <f t="shared" si="17"/>
        <v>PONTE GALERIA - PIANA DEL SOL</v>
      </c>
      <c r="F517" s="1" t="str">
        <f>_xlfn.XLOOKUP(B517,[1]!Tabella_N_Assi[Indirizzo],[1]!Tabella_N_Assi[Tipo Mezzo Preferenziale],"non trovato")</f>
        <v>non trovato</v>
      </c>
      <c r="G517">
        <f>_xlfn.XLOOKUP(A517,[2]Sheet1!$A:$A,[2]Sheet1!$G:$G,"non trovato")</f>
        <v>41.832974800000002</v>
      </c>
      <c r="H517">
        <f>_xlfn.XLOOKUP(A517,[2]Sheet1!$A:$A,[2]Sheet1!$H:$H,"non trovato")</f>
        <v>12.411088599999999</v>
      </c>
    </row>
    <row r="518" spans="1:8" x14ac:dyDescent="0.25">
      <c r="A518" s="1" t="str">
        <v>500000160153</v>
      </c>
      <c r="B518" s="1" t="str">
        <f>_xlfn.XLOOKUP(A518,[1]!TabellaContenitori[PdR],[1]!TabellaContenitori[AET])</f>
        <v>PONTE GALERIA - PIANA DEL SOL</v>
      </c>
      <c r="C518" s="1" t="str">
        <f>_xlfn.XLOOKUP(A518,[1]!TabellaContenitori[PdR],[1]!TabellaContenitori[Numero civico])</f>
        <v>101</v>
      </c>
      <c r="D518" s="1" t="str">
        <f t="shared" si="16"/>
        <v>PONTE GALERIA - PIANA DEL SOL, 101, Roma</v>
      </c>
      <c r="E518" s="1" t="str">
        <f t="shared" si="17"/>
        <v>PONTE GALERIA - PIANA DEL SOL</v>
      </c>
      <c r="F518" s="1" t="str">
        <f>_xlfn.XLOOKUP(B518,[1]!Tabella_N_Assi[Indirizzo],[1]!Tabella_N_Assi[Tipo Mezzo Preferenziale],"non trovato")</f>
        <v>non trovato</v>
      </c>
      <c r="G518">
        <f>_xlfn.XLOOKUP(A518,[2]Sheet1!$A:$A,[2]Sheet1!$G:$G,"non trovato")</f>
        <v>41.832974800000002</v>
      </c>
      <c r="H518">
        <f>_xlfn.XLOOKUP(A518,[2]Sheet1!$A:$A,[2]Sheet1!$H:$H,"non trovato")</f>
        <v>12.411088599999999</v>
      </c>
    </row>
    <row r="519" spans="1:8" x14ac:dyDescent="0.25">
      <c r="A519" s="1" t="str">
        <v>500000039408</v>
      </c>
      <c r="B519" s="1" t="str">
        <f>_xlfn.XLOOKUP(A519,[1]!TabellaContenitori[PdR],[1]!TabellaContenitori[AET])</f>
        <v>MAGLIANA NUOVA</v>
      </c>
      <c r="C519" s="1" t="str">
        <f>_xlfn.XLOOKUP(A519,[1]!TabellaContenitori[PdR],[1]!TabellaContenitori[Numero civico])</f>
        <v>26</v>
      </c>
      <c r="D519" s="1" t="str">
        <f t="shared" si="16"/>
        <v>MAGLIANA NUOVA, 26, Roma</v>
      </c>
      <c r="E519" s="1" t="str">
        <f t="shared" si="17"/>
        <v>MAGLIANA NUOVA</v>
      </c>
      <c r="F519" s="1" t="str">
        <f>_xlfn.XLOOKUP(B519,[1]!Tabella_N_Assi[Indirizzo],[1]!Tabella_N_Assi[Tipo Mezzo Preferenziale],"non trovato")</f>
        <v>non trovato</v>
      </c>
      <c r="G519">
        <f>_xlfn.XLOOKUP(A519,[2]Sheet1!$A:$A,[2]Sheet1!$G:$G,"non trovato")</f>
        <v>41.845775000000003</v>
      </c>
      <c r="H519">
        <f>_xlfn.XLOOKUP(A519,[2]Sheet1!$A:$A,[2]Sheet1!$H:$H,"non trovato")</f>
        <v>12.457798500000001</v>
      </c>
    </row>
    <row r="520" spans="1:8" x14ac:dyDescent="0.25">
      <c r="A520" s="1" t="str">
        <v>500000063737</v>
      </c>
      <c r="B520" s="1" t="str">
        <f>_xlfn.XLOOKUP(A520,[1]!TabellaContenitori[PdR],[1]!TabellaContenitori[AET])</f>
        <v>TRULLO - MONTE CUCCO</v>
      </c>
      <c r="C520" s="1" t="str">
        <f>_xlfn.XLOOKUP(A520,[1]!TabellaContenitori[PdR],[1]!TabellaContenitori[Numero civico])</f>
        <v>98</v>
      </c>
      <c r="D520" s="1" t="str">
        <f t="shared" si="16"/>
        <v>TRULLO - MONTE CUCCO, 98, Roma</v>
      </c>
      <c r="E520" s="1" t="str">
        <f t="shared" si="17"/>
        <v>TRULLO - MONTE CUCCO</v>
      </c>
      <c r="F520" s="1" t="str">
        <f>_xlfn.XLOOKUP(B520,[1]!Tabella_N_Assi[Indirizzo],[1]!Tabella_N_Assi[Tipo Mezzo Preferenziale],"non trovato")</f>
        <v>non trovato</v>
      </c>
      <c r="G520">
        <f>_xlfn.XLOOKUP(A520,[2]Sheet1!$A:$A,[2]Sheet1!$G:$G,"non trovato")</f>
        <v>41.842198699999997</v>
      </c>
      <c r="H520">
        <f>_xlfn.XLOOKUP(A520,[2]Sheet1!$A:$A,[2]Sheet1!$H:$H,"non trovato")</f>
        <v>12.441648199999999</v>
      </c>
    </row>
    <row r="521" spans="1:8" x14ac:dyDescent="0.25">
      <c r="A521" s="1" t="str">
        <v>500000009843</v>
      </c>
      <c r="B521" s="1" t="str">
        <f>_xlfn.XLOOKUP(A521,[1]!TabellaContenitori[PdR],[1]!TabellaContenitori[AET])</f>
        <v>TRULLO - MONTE CUCCO</v>
      </c>
      <c r="C521" s="1" t="str">
        <f>_xlfn.XLOOKUP(A521,[1]!TabellaContenitori[PdR],[1]!TabellaContenitori[Numero civico])</f>
        <v>12</v>
      </c>
      <c r="D521" s="1" t="str">
        <f t="shared" si="16"/>
        <v>TRULLO - MONTE CUCCO, 12, Roma</v>
      </c>
      <c r="E521" s="1" t="str">
        <f t="shared" si="17"/>
        <v>TRULLO - MONTE CUCCO</v>
      </c>
      <c r="F521" s="1" t="str">
        <f>_xlfn.XLOOKUP(B521,[1]!Tabella_N_Assi[Indirizzo],[1]!Tabella_N_Assi[Tipo Mezzo Preferenziale],"non trovato")</f>
        <v>non trovato</v>
      </c>
      <c r="G521">
        <f>_xlfn.XLOOKUP(A521,[2]Sheet1!$A:$A,[2]Sheet1!$G:$G,"non trovato")</f>
        <v>41.853992300000002</v>
      </c>
      <c r="H521">
        <f>_xlfn.XLOOKUP(A521,[2]Sheet1!$A:$A,[2]Sheet1!$H:$H,"non trovato")</f>
        <v>12.4453563</v>
      </c>
    </row>
    <row r="522" spans="1:8" x14ac:dyDescent="0.25">
      <c r="A522" s="1" t="str">
        <v>500000063726</v>
      </c>
      <c r="B522" s="1" t="str">
        <f>_xlfn.XLOOKUP(A522,[1]!TabellaContenitori[PdR],[1]!TabellaContenitori[AET])</f>
        <v>TRULLO - MONTE CUCCO</v>
      </c>
      <c r="C522" s="1" t="str">
        <f>_xlfn.XLOOKUP(A522,[1]!TabellaContenitori[PdR],[1]!TabellaContenitori[Numero civico])</f>
        <v>30</v>
      </c>
      <c r="D522" s="1" t="str">
        <f t="shared" si="16"/>
        <v>TRULLO - MONTE CUCCO, 30, Roma</v>
      </c>
      <c r="E522" s="1" t="str">
        <f t="shared" si="17"/>
        <v>TRULLO - MONTE CUCCO</v>
      </c>
      <c r="F522" s="1" t="str">
        <f>_xlfn.XLOOKUP(B522,[1]!Tabella_N_Assi[Indirizzo],[1]!Tabella_N_Assi[Tipo Mezzo Preferenziale],"non trovato")</f>
        <v>non trovato</v>
      </c>
      <c r="G522">
        <f>_xlfn.XLOOKUP(A522,[2]Sheet1!$A:$A,[2]Sheet1!$G:$G,"non trovato")</f>
        <v>41.842198699999997</v>
      </c>
      <c r="H522">
        <f>_xlfn.XLOOKUP(A522,[2]Sheet1!$A:$A,[2]Sheet1!$H:$H,"non trovato")</f>
        <v>12.441648199999999</v>
      </c>
    </row>
    <row r="523" spans="1:8" x14ac:dyDescent="0.25">
      <c r="A523" s="1" t="str">
        <v>500000120308</v>
      </c>
      <c r="B523" s="1" t="str">
        <f>_xlfn.XLOOKUP(A523,[1]!TabellaContenitori[PdR],[1]!TabellaContenitori[AET])</f>
        <v>TRULLO - MONTE DELLE CAPRE</v>
      </c>
      <c r="C523" s="1" t="str">
        <f>_xlfn.XLOOKUP(A523,[1]!TabellaContenitori[PdR],[1]!TabellaContenitori[Numero civico])</f>
        <v>18</v>
      </c>
      <c r="D523" s="1" t="str">
        <f t="shared" si="16"/>
        <v>TRULLO - MONTE DELLE CAPRE, 18, Roma</v>
      </c>
      <c r="E523" s="1" t="str">
        <f t="shared" si="17"/>
        <v>TRULLO - MONTE DELLE CAPRE</v>
      </c>
      <c r="F523" s="1" t="str">
        <f>_xlfn.XLOOKUP(B523,[1]!Tabella_N_Assi[Indirizzo],[1]!Tabella_N_Assi[Tipo Mezzo Preferenziale],"non trovato")</f>
        <v>non trovato</v>
      </c>
      <c r="G523">
        <f>_xlfn.XLOOKUP(A523,[2]Sheet1!$A:$A,[2]Sheet1!$G:$G,"non trovato")</f>
        <v>41.8431517</v>
      </c>
      <c r="H523">
        <f>_xlfn.XLOOKUP(A523,[2]Sheet1!$A:$A,[2]Sheet1!$H:$H,"non trovato")</f>
        <v>12.436747499999999</v>
      </c>
    </row>
    <row r="524" spans="1:8" x14ac:dyDescent="0.25">
      <c r="A524" s="1" t="str">
        <v>500000096249</v>
      </c>
      <c r="B524" s="1" t="str">
        <f>_xlfn.XLOOKUP(A524,[1]!TabellaContenitori[PdR],[1]!TabellaContenitori[AET])</f>
        <v>CORVIALE</v>
      </c>
      <c r="C524" s="1" t="str">
        <f>_xlfn.XLOOKUP(A524,[1]!TabellaContenitori[PdR],[1]!TabellaContenitori[Numero civico])</f>
        <v>5</v>
      </c>
      <c r="D524" s="1" t="str">
        <f t="shared" si="16"/>
        <v>CORVIALE, 5, Roma</v>
      </c>
      <c r="E524" s="1" t="str">
        <f t="shared" si="17"/>
        <v>CORVIALE</v>
      </c>
      <c r="F524" s="1" t="str">
        <f>_xlfn.XLOOKUP(B524,[1]!Tabella_N_Assi[Indirizzo],[1]!Tabella_N_Assi[Tipo Mezzo Preferenziale],"non trovato")</f>
        <v>non trovato</v>
      </c>
      <c r="G524">
        <f>_xlfn.XLOOKUP(A524,[2]Sheet1!$A:$A,[2]Sheet1!$G:$G,"non trovato")</f>
        <v>41.852738500000001</v>
      </c>
      <c r="H524">
        <f>_xlfn.XLOOKUP(A524,[2]Sheet1!$A:$A,[2]Sheet1!$H:$H,"non trovato")</f>
        <v>12.4131214</v>
      </c>
    </row>
    <row r="525" spans="1:8" x14ac:dyDescent="0.25">
      <c r="A525" s="1" t="str">
        <v>500000083043</v>
      </c>
      <c r="B525" s="1" t="str">
        <f>_xlfn.XLOOKUP(A525,[1]!TabellaContenitori[PdR],[1]!TabellaContenitori[AET])</f>
        <v>TRULLO - MONTE DELLE CAPRE</v>
      </c>
      <c r="C525" s="1" t="str">
        <f>_xlfn.XLOOKUP(A525,[1]!TabellaContenitori[PdR],[1]!TabellaContenitori[Numero civico])</f>
        <v>54</v>
      </c>
      <c r="D525" s="1" t="str">
        <f t="shared" si="16"/>
        <v>TRULLO - MONTE DELLE CAPRE, 54, Roma</v>
      </c>
      <c r="E525" s="1" t="str">
        <f t="shared" si="17"/>
        <v>TRULLO - MONTE DELLE CAPRE</v>
      </c>
      <c r="F525" s="1" t="str">
        <f>_xlfn.XLOOKUP(B525,[1]!Tabella_N_Assi[Indirizzo],[1]!Tabella_N_Assi[Tipo Mezzo Preferenziale],"non trovato")</f>
        <v>non trovato</v>
      </c>
      <c r="G525">
        <f>_xlfn.XLOOKUP(A525,[2]Sheet1!$A:$A,[2]Sheet1!$G:$G,"non trovato")</f>
        <v>41.845074400000001</v>
      </c>
      <c r="H525">
        <f>_xlfn.XLOOKUP(A525,[2]Sheet1!$A:$A,[2]Sheet1!$H:$H,"non trovato")</f>
        <v>12.4281592</v>
      </c>
    </row>
    <row r="526" spans="1:8" x14ac:dyDescent="0.25">
      <c r="A526" s="1" t="str">
        <v>500000134765</v>
      </c>
      <c r="B526" s="1" t="str">
        <f>_xlfn.XLOOKUP(A526,[1]!TabellaContenitori[PdR],[1]!TabellaContenitori[AET])</f>
        <v>TRULLO - MONTE DELLE CAPRE</v>
      </c>
      <c r="C526" s="1" t="str">
        <f>_xlfn.XLOOKUP(A526,[1]!TabellaContenitori[PdR],[1]!TabellaContenitori[Numero civico])</f>
        <v>109</v>
      </c>
      <c r="D526" s="1" t="str">
        <f t="shared" si="16"/>
        <v>TRULLO - MONTE DELLE CAPRE, 109, Roma</v>
      </c>
      <c r="E526" s="1" t="str">
        <f t="shared" si="17"/>
        <v>TRULLO - MONTE DELLE CAPRE</v>
      </c>
      <c r="F526" s="1" t="str">
        <f>_xlfn.XLOOKUP(B526,[1]!Tabella_N_Assi[Indirizzo],[1]!Tabella_N_Assi[Tipo Mezzo Preferenziale],"non trovato")</f>
        <v>non trovato</v>
      </c>
      <c r="G526">
        <f>_xlfn.XLOOKUP(A526,[2]Sheet1!$A:$A,[2]Sheet1!$G:$G,"non trovato")</f>
        <v>41.836736500000001</v>
      </c>
      <c r="H526">
        <f>_xlfn.XLOOKUP(A526,[2]Sheet1!$A:$A,[2]Sheet1!$H:$H,"non trovato")</f>
        <v>12.4262792</v>
      </c>
    </row>
    <row r="527" spans="1:8" x14ac:dyDescent="0.25">
      <c r="A527" s="1" t="str">
        <v>500000096246</v>
      </c>
      <c r="B527" s="1" t="str">
        <f>_xlfn.XLOOKUP(A527,[1]!TabellaContenitori[PdR],[1]!TabellaContenitori[AET])</f>
        <v>CORVIALE</v>
      </c>
      <c r="C527" s="1" t="str">
        <f>_xlfn.XLOOKUP(A527,[1]!TabellaContenitori[PdR],[1]!TabellaContenitori[Numero civico])</f>
        <v>5</v>
      </c>
      <c r="D527" s="1" t="str">
        <f t="shared" si="16"/>
        <v>CORVIALE, 5, Roma</v>
      </c>
      <c r="E527" s="1" t="str">
        <f t="shared" si="17"/>
        <v>CORVIALE</v>
      </c>
      <c r="F527" s="1" t="str">
        <f>_xlfn.XLOOKUP(B527,[1]!Tabella_N_Assi[Indirizzo],[1]!Tabella_N_Assi[Tipo Mezzo Preferenziale],"non trovato")</f>
        <v>non trovato</v>
      </c>
      <c r="G527">
        <f>_xlfn.XLOOKUP(A527,[2]Sheet1!$A:$A,[2]Sheet1!$G:$G,"non trovato")</f>
        <v>41.852738500000001</v>
      </c>
      <c r="H527">
        <f>_xlfn.XLOOKUP(A527,[2]Sheet1!$A:$A,[2]Sheet1!$H:$H,"non trovato")</f>
        <v>12.4131214</v>
      </c>
    </row>
    <row r="528" spans="1:8" x14ac:dyDescent="0.25">
      <c r="A528" s="1" t="str">
        <v>500000014535</v>
      </c>
      <c r="B528" s="1" t="str">
        <f>_xlfn.XLOOKUP(A528,[1]!TabellaContenitori[PdR],[1]!TabellaContenitori[AET])</f>
        <v>CASETTA MATTEI</v>
      </c>
      <c r="C528" s="1" t="str">
        <f>_xlfn.XLOOKUP(A528,[1]!TabellaContenitori[PdR],[1]!TabellaContenitori[Numero civico])</f>
        <v>18</v>
      </c>
      <c r="D528" s="1" t="str">
        <f t="shared" si="16"/>
        <v>CASETTA MATTEI, 18, Roma</v>
      </c>
      <c r="E528" s="1" t="str">
        <f t="shared" si="17"/>
        <v>CASETTA MATTEI</v>
      </c>
      <c r="F528" s="1" t="str">
        <f>_xlfn.XLOOKUP(B528,[1]!Tabella_N_Assi[Indirizzo],[1]!Tabella_N_Assi[Tipo Mezzo Preferenziale],"non trovato")</f>
        <v>non trovato</v>
      </c>
      <c r="G528">
        <f>_xlfn.XLOOKUP(A528,[2]Sheet1!$A:$A,[2]Sheet1!$G:$G,"non trovato")</f>
        <v>41.858801</v>
      </c>
      <c r="H528">
        <f>_xlfn.XLOOKUP(A528,[2]Sheet1!$A:$A,[2]Sheet1!$H:$H,"non trovato")</f>
        <v>12.4178953</v>
      </c>
    </row>
    <row r="529" spans="1:8" x14ac:dyDescent="0.25">
      <c r="A529" s="1" t="str">
        <v>500000032940</v>
      </c>
      <c r="B529" s="1" t="str">
        <f>_xlfn.XLOOKUP(A529,[1]!TabellaContenitori[PdR],[1]!TabellaContenitori[AET])</f>
        <v>CASETTA MATTEI</v>
      </c>
      <c r="C529" s="1" t="str">
        <f>_xlfn.XLOOKUP(A529,[1]!TabellaContenitori[PdR],[1]!TabellaContenitori[Numero civico])</f>
        <v>406</v>
      </c>
      <c r="D529" s="1" t="str">
        <f t="shared" si="16"/>
        <v>CASETTA MATTEI, 406, Roma</v>
      </c>
      <c r="E529" s="1" t="str">
        <f t="shared" si="17"/>
        <v>CASETTA MATTEI</v>
      </c>
      <c r="F529" s="1" t="str">
        <f>_xlfn.XLOOKUP(B529,[1]!Tabella_N_Assi[Indirizzo],[1]!Tabella_N_Assi[Tipo Mezzo Preferenziale],"non trovato")</f>
        <v>non trovato</v>
      </c>
      <c r="G529">
        <f>_xlfn.XLOOKUP(A529,[2]Sheet1!$A:$A,[2]Sheet1!$G:$G,"non trovato")</f>
        <v>41.859758599999999</v>
      </c>
      <c r="H529">
        <f>_xlfn.XLOOKUP(A529,[2]Sheet1!$A:$A,[2]Sheet1!$H:$H,"non trovato")</f>
        <v>12.419367100000001</v>
      </c>
    </row>
    <row r="530" spans="1:8" x14ac:dyDescent="0.25">
      <c r="A530" s="1" t="str">
        <v>500000120320</v>
      </c>
      <c r="B530" s="1" t="str">
        <f>_xlfn.XLOOKUP(A530,[1]!TabellaContenitori[PdR],[1]!TabellaContenitori[AET])</f>
        <v>TRULLO - MONTE DELLE CAPRE</v>
      </c>
      <c r="C530" s="1" t="str">
        <f>_xlfn.XLOOKUP(A530,[1]!TabellaContenitori[PdR],[1]!TabellaContenitori[Numero civico])</f>
        <v>136</v>
      </c>
      <c r="D530" s="1" t="str">
        <f t="shared" si="16"/>
        <v>TRULLO - MONTE DELLE CAPRE, 136, Roma</v>
      </c>
      <c r="E530" s="1" t="str">
        <f t="shared" si="17"/>
        <v>TRULLO - MONTE DELLE CAPRE</v>
      </c>
      <c r="F530" s="1" t="str">
        <f>_xlfn.XLOOKUP(B530,[1]!Tabella_N_Assi[Indirizzo],[1]!Tabella_N_Assi[Tipo Mezzo Preferenziale],"non trovato")</f>
        <v>non trovato</v>
      </c>
      <c r="G530">
        <f>_xlfn.XLOOKUP(A530,[2]Sheet1!$A:$A,[2]Sheet1!$G:$G,"non trovato")</f>
        <v>41.8431517</v>
      </c>
      <c r="H530">
        <f>_xlfn.XLOOKUP(A530,[2]Sheet1!$A:$A,[2]Sheet1!$H:$H,"non trovato")</f>
        <v>12.436747499999999</v>
      </c>
    </row>
    <row r="531" spans="1:8" x14ac:dyDescent="0.25">
      <c r="A531" s="1" t="str">
        <v>500000036008</v>
      </c>
      <c r="B531" s="1" t="str">
        <f>_xlfn.XLOOKUP(A531,[1]!TabellaContenitori[PdR],[1]!TabellaContenitori[AET])</f>
        <v>TRULLO - MONTE DELLE CAPRE</v>
      </c>
      <c r="C531" s="1" t="str">
        <f>_xlfn.XLOOKUP(A531,[1]!TabellaContenitori[PdR],[1]!TabellaContenitori[Numero civico])</f>
        <v>94</v>
      </c>
      <c r="D531" s="1" t="str">
        <f t="shared" si="16"/>
        <v>TRULLO - MONTE DELLE CAPRE, 94, Roma</v>
      </c>
      <c r="E531" s="1" t="str">
        <f t="shared" si="17"/>
        <v>TRULLO - MONTE DELLE CAPRE</v>
      </c>
      <c r="F531" s="1" t="str">
        <f>_xlfn.XLOOKUP(B531,[1]!Tabella_N_Assi[Indirizzo],[1]!Tabella_N_Assi[Tipo Mezzo Preferenziale],"non trovato")</f>
        <v>non trovato</v>
      </c>
      <c r="G531">
        <f>_xlfn.XLOOKUP(A531,[2]Sheet1!$A:$A,[2]Sheet1!$G:$G,"non trovato")</f>
        <v>41.843478599999997</v>
      </c>
      <c r="H531">
        <f>_xlfn.XLOOKUP(A531,[2]Sheet1!$A:$A,[2]Sheet1!$H:$H,"non trovato")</f>
        <v>12.4276889</v>
      </c>
    </row>
    <row r="532" spans="1:8" x14ac:dyDescent="0.25">
      <c r="A532" s="1" t="str">
        <v>500000177649</v>
      </c>
      <c r="B532" s="1" t="str">
        <f>_xlfn.XLOOKUP(A532,[1]!TabellaContenitori[PdR],[1]!TabellaContenitori[AET])</f>
        <v>CORVIALE</v>
      </c>
      <c r="C532" s="1" t="str">
        <f>_xlfn.XLOOKUP(A532,[1]!TabellaContenitori[PdR],[1]!TabellaContenitori[Numero civico])</f>
        <v>61</v>
      </c>
      <c r="D532" s="1" t="str">
        <f t="shared" si="16"/>
        <v>CORVIALE, 61, Roma</v>
      </c>
      <c r="E532" s="1" t="str">
        <f t="shared" si="17"/>
        <v>CORVIALE</v>
      </c>
      <c r="F532" s="1" t="str">
        <f>_xlfn.XLOOKUP(B532,[1]!Tabella_N_Assi[Indirizzo],[1]!Tabella_N_Assi[Tipo Mezzo Preferenziale],"non trovato")</f>
        <v>non trovato</v>
      </c>
      <c r="G532">
        <f>_xlfn.XLOOKUP(A532,[2]Sheet1!$A:$A,[2]Sheet1!$G:$G,"non trovato")</f>
        <v>41.855792200000003</v>
      </c>
      <c r="H532">
        <f>_xlfn.XLOOKUP(A532,[2]Sheet1!$A:$A,[2]Sheet1!$H:$H,"non trovato")</f>
        <v>12.4143522</v>
      </c>
    </row>
    <row r="533" spans="1:8" x14ac:dyDescent="0.25">
      <c r="A533" s="1" t="str">
        <v>500000177647</v>
      </c>
      <c r="B533" s="1" t="str">
        <f>_xlfn.XLOOKUP(A533,[1]!TabellaContenitori[PdR],[1]!TabellaContenitori[AET])</f>
        <v>CORVIALE</v>
      </c>
      <c r="C533" s="1" t="str">
        <f>_xlfn.XLOOKUP(A533,[1]!TabellaContenitori[PdR],[1]!TabellaContenitori[Numero civico])</f>
        <v>21</v>
      </c>
      <c r="D533" s="1" t="str">
        <f t="shared" si="16"/>
        <v>CORVIALE, 21, Roma</v>
      </c>
      <c r="E533" s="1" t="str">
        <f t="shared" si="17"/>
        <v>CORVIALE</v>
      </c>
      <c r="F533" s="1" t="str">
        <f>_xlfn.XLOOKUP(B533,[1]!Tabella_N_Assi[Indirizzo],[1]!Tabella_N_Assi[Tipo Mezzo Preferenziale],"non trovato")</f>
        <v>non trovato</v>
      </c>
      <c r="G533">
        <f>_xlfn.XLOOKUP(A533,[2]Sheet1!$A:$A,[2]Sheet1!$G:$G,"non trovato")</f>
        <v>41.855792200000003</v>
      </c>
      <c r="H533">
        <f>_xlfn.XLOOKUP(A533,[2]Sheet1!$A:$A,[2]Sheet1!$H:$H,"non trovato")</f>
        <v>12.4143522</v>
      </c>
    </row>
    <row r="534" spans="1:8" x14ac:dyDescent="0.25">
      <c r="A534" s="1" t="str">
        <v>500000075929</v>
      </c>
      <c r="B534" s="1" t="str">
        <f>_xlfn.XLOOKUP(A534,[1]!TabellaContenitori[PdR],[1]!TabellaContenitori[AET])</f>
        <v>PARCO DE' MEDICI</v>
      </c>
      <c r="C534" s="1" t="str">
        <f>_xlfn.XLOOKUP(A534,[1]!TabellaContenitori[PdR],[1]!TabellaContenitori[Numero civico])</f>
        <v>329</v>
      </c>
      <c r="D534" s="1" t="str">
        <f t="shared" si="16"/>
        <v>PARCO DE' MEDICI, 329, Roma</v>
      </c>
      <c r="E534" s="1" t="str">
        <f t="shared" si="17"/>
        <v>PARCO DE' MEDICI</v>
      </c>
      <c r="F534" s="1" t="str">
        <f>_xlfn.XLOOKUP(B534,[1]!Tabella_N_Assi[Indirizzo],[1]!Tabella_N_Assi[Tipo Mezzo Preferenziale],"non trovato")</f>
        <v>non trovato</v>
      </c>
      <c r="G534">
        <f>_xlfn.XLOOKUP(A534,[2]Sheet1!$A:$A,[2]Sheet1!$G:$G,"non trovato")</f>
        <v>41.839530299998998</v>
      </c>
      <c r="H534">
        <f>_xlfn.XLOOKUP(A534,[2]Sheet1!$A:$A,[2]Sheet1!$H:$H,"non trovato")</f>
        <v>12.454582800000001</v>
      </c>
    </row>
    <row r="535" spans="1:8" x14ac:dyDescent="0.25">
      <c r="A535" s="1" t="str">
        <v>500000047355</v>
      </c>
      <c r="B535" s="1" t="str">
        <f>_xlfn.XLOOKUP(A535,[1]!TabellaContenitori[PdR],[1]!TabellaContenitori[AET])</f>
        <v>FRATTINI</v>
      </c>
      <c r="C535" s="1" t="str">
        <f>_xlfn.XLOOKUP(A535,[1]!TabellaContenitori[PdR],[1]!TabellaContenitori[Numero civico])</f>
        <v>39</v>
      </c>
      <c r="D535" s="1" t="str">
        <f t="shared" si="16"/>
        <v>FRATTINI, 39, Roma</v>
      </c>
      <c r="E535" s="1" t="str">
        <f t="shared" si="17"/>
        <v>FRATTINI</v>
      </c>
      <c r="F535" s="1" t="str">
        <f>_xlfn.XLOOKUP(B535,[1]!Tabella_N_Assi[Indirizzo],[1]!Tabella_N_Assi[Tipo Mezzo Preferenziale],"non trovato")</f>
        <v>non trovato</v>
      </c>
      <c r="G535">
        <f>_xlfn.XLOOKUP(A535,[2]Sheet1!$A:$A,[2]Sheet1!$G:$G,"non trovato")</f>
        <v>41.849021700000002</v>
      </c>
      <c r="H535">
        <f>_xlfn.XLOOKUP(A535,[2]Sheet1!$A:$A,[2]Sheet1!$H:$H,"non trovato")</f>
        <v>12.450667899999999</v>
      </c>
    </row>
    <row r="536" spans="1:8" x14ac:dyDescent="0.25">
      <c r="A536" s="1" t="str">
        <v>500000204096</v>
      </c>
      <c r="B536" s="1" t="str">
        <f>_xlfn.XLOOKUP(A536,[1]!TabellaContenitori[PdR],[1]!TabellaContenitori[AET])</f>
        <v>TRULLO - MONTE DELLE CAPRE</v>
      </c>
      <c r="C536" s="1" t="str">
        <f>_xlfn.XLOOKUP(A536,[1]!TabellaContenitori[PdR],[1]!TabellaContenitori[Numero civico])</f>
        <v>41</v>
      </c>
      <c r="D536" s="1" t="str">
        <f t="shared" si="16"/>
        <v>TRULLO - MONTE DELLE CAPRE, 41, Roma</v>
      </c>
      <c r="E536" s="1" t="str">
        <f t="shared" si="17"/>
        <v>TRULLO - MONTE DELLE CAPRE</v>
      </c>
      <c r="F536" s="1" t="str">
        <f>_xlfn.XLOOKUP(B536,[1]!Tabella_N_Assi[Indirizzo],[1]!Tabella_N_Assi[Tipo Mezzo Preferenziale],"non trovato")</f>
        <v>non trovato</v>
      </c>
      <c r="G536">
        <f>_xlfn.XLOOKUP(A536,[2]Sheet1!$A:$A,[2]Sheet1!$G:$G,"non trovato")</f>
        <v>41.834428600000003</v>
      </c>
      <c r="H536">
        <f>_xlfn.XLOOKUP(A536,[2]Sheet1!$A:$A,[2]Sheet1!$H:$H,"non trovato")</f>
        <v>12.433839799999999</v>
      </c>
    </row>
    <row r="537" spans="1:8" x14ac:dyDescent="0.25">
      <c r="A537" s="1" t="str">
        <v>500000114553</v>
      </c>
      <c r="B537" s="1" t="str">
        <f>_xlfn.XLOOKUP(A537,[1]!TabellaContenitori[PdR],[1]!TabellaContenitori[AET])</f>
        <v>TRULLO - MONTE DELLE CAPRE</v>
      </c>
      <c r="C537" s="1" t="str">
        <f>_xlfn.XLOOKUP(A537,[1]!TabellaContenitori[PdR],[1]!TabellaContenitori[Numero civico])</f>
        <v>26</v>
      </c>
      <c r="D537" s="1" t="str">
        <f t="shared" si="16"/>
        <v>TRULLO - MONTE DELLE CAPRE, 26, Roma</v>
      </c>
      <c r="E537" s="1" t="str">
        <f t="shared" si="17"/>
        <v>TRULLO - MONTE DELLE CAPRE</v>
      </c>
      <c r="F537" s="1" t="str">
        <f>_xlfn.XLOOKUP(B537,[1]!Tabella_N_Assi[Indirizzo],[1]!Tabella_N_Assi[Tipo Mezzo Preferenziale],"non trovato")</f>
        <v>non trovato</v>
      </c>
      <c r="G537">
        <f>_xlfn.XLOOKUP(A537,[2]Sheet1!$A:$A,[2]Sheet1!$G:$G,"non trovato")</f>
        <v>41.837547600000001</v>
      </c>
      <c r="H537">
        <f>_xlfn.XLOOKUP(A537,[2]Sheet1!$A:$A,[2]Sheet1!$H:$H,"non trovato")</f>
        <v>12.4350468</v>
      </c>
    </row>
    <row r="538" spans="1:8" x14ac:dyDescent="0.25">
      <c r="A538" s="1" t="str">
        <v>500000097804</v>
      </c>
      <c r="B538" s="1" t="str">
        <f>_xlfn.XLOOKUP(A538,[1]!TabellaContenitori[PdR],[1]!TabellaContenitori[AET])</f>
        <v>PORTUENSE</v>
      </c>
      <c r="C538" s="1" t="str">
        <f>_xlfn.XLOOKUP(A538,[1]!TabellaContenitori[PdR],[1]!TabellaContenitori[Numero civico])</f>
        <v>495</v>
      </c>
      <c r="D538" s="1" t="str">
        <f t="shared" si="16"/>
        <v>PORTUENSE, 495, Roma</v>
      </c>
      <c r="E538" s="1" t="str">
        <f t="shared" si="17"/>
        <v>PORTUENSE</v>
      </c>
      <c r="F538" s="1" t="str">
        <f>_xlfn.XLOOKUP(B538,[1]!Tabella_N_Assi[Indirizzo],[1]!Tabella_N_Assi[Tipo Mezzo Preferenziale],"non trovato")</f>
        <v>non trovato</v>
      </c>
      <c r="G538">
        <f>_xlfn.XLOOKUP(A538,[2]Sheet1!$A:$A,[2]Sheet1!$G:$G,"non trovato")</f>
        <v>41.870518400000002</v>
      </c>
      <c r="H538">
        <f>_xlfn.XLOOKUP(A538,[2]Sheet1!$A:$A,[2]Sheet1!$H:$H,"non trovato")</f>
        <v>12.4653882</v>
      </c>
    </row>
    <row r="539" spans="1:8" x14ac:dyDescent="0.25">
      <c r="A539" s="1" t="str">
        <v>500000205364</v>
      </c>
      <c r="B539" s="1" t="str">
        <f>_xlfn.XLOOKUP(A539,[1]!TabellaContenitori[PdR],[1]!TabellaContenitori[AET])</f>
        <v>CORVIALE</v>
      </c>
      <c r="C539" s="1" t="str">
        <f>_xlfn.XLOOKUP(A539,[1]!TabellaContenitori[PdR],[1]!TabellaContenitori[Numero civico])</f>
        <v>718</v>
      </c>
      <c r="D539" s="1" t="str">
        <f t="shared" si="16"/>
        <v>CORVIALE, 718, Roma</v>
      </c>
      <c r="E539" s="1" t="str">
        <f t="shared" si="17"/>
        <v>CORVIALE</v>
      </c>
      <c r="F539" s="1" t="str">
        <f>_xlfn.XLOOKUP(B539,[1]!Tabella_N_Assi[Indirizzo],[1]!Tabella_N_Assi[Tipo Mezzo Preferenziale],"non trovato")</f>
        <v>non trovato</v>
      </c>
      <c r="G539">
        <f>_xlfn.XLOOKUP(A539,[2]Sheet1!$A:$A,[2]Sheet1!$G:$G,"non trovato")</f>
        <v>41.870518400000002</v>
      </c>
      <c r="H539">
        <f>_xlfn.XLOOKUP(A539,[2]Sheet1!$A:$A,[2]Sheet1!$H:$H,"non trovato")</f>
        <v>12.4653882</v>
      </c>
    </row>
    <row r="540" spans="1:8" x14ac:dyDescent="0.25">
      <c r="A540" s="1" t="str">
        <v>500000068590</v>
      </c>
      <c r="B540" s="1" t="str">
        <f>_xlfn.XLOOKUP(A540,[1]!TabellaContenitori[PdR],[1]!TabellaContenitori[AET])</f>
        <v>MARCONI</v>
      </c>
      <c r="C540" s="1" t="str">
        <f>_xlfn.XLOOKUP(A540,[1]!TabellaContenitori[PdR],[1]!TabellaContenitori[Numero civico])</f>
        <v>90</v>
      </c>
      <c r="D540" s="1" t="str">
        <f t="shared" si="16"/>
        <v>MARCONI, 90, Roma</v>
      </c>
      <c r="E540" s="1" t="str">
        <f t="shared" si="17"/>
        <v>MARCONI</v>
      </c>
      <c r="F540" s="1" t="str">
        <f>_xlfn.XLOOKUP(B540,[1]!Tabella_N_Assi[Indirizzo],[1]!Tabella_N_Assi[Tipo Mezzo Preferenziale],"non trovato")</f>
        <v>non trovato</v>
      </c>
      <c r="G540">
        <f>_xlfn.XLOOKUP(A540,[2]Sheet1!$A:$A,[2]Sheet1!$G:$G,"non trovato")</f>
        <v>41.8676119</v>
      </c>
      <c r="H540">
        <f>_xlfn.XLOOKUP(A540,[2]Sheet1!$A:$A,[2]Sheet1!$H:$H,"non trovato")</f>
        <v>12.468095999999999</v>
      </c>
    </row>
    <row r="541" spans="1:8" x14ac:dyDescent="0.25">
      <c r="A541" s="1" t="str">
        <v>500000047230</v>
      </c>
      <c r="B541" s="1" t="str">
        <f>_xlfn.XLOOKUP(A541,[1]!TabellaContenitori[PdR],[1]!TabellaContenitori[AET])</f>
        <v>FERMI</v>
      </c>
      <c r="C541" s="1" t="str">
        <f>_xlfn.XLOOKUP(A541,[1]!TabellaContenitori[PdR],[1]!TabellaContenitori[Numero civico])</f>
        <v>124</v>
      </c>
      <c r="D541" s="1" t="str">
        <f t="shared" si="16"/>
        <v>FERMI, 124, Roma</v>
      </c>
      <c r="E541" s="1" t="str">
        <f t="shared" si="17"/>
        <v>FERMI</v>
      </c>
      <c r="F541" s="1" t="str">
        <f>_xlfn.XLOOKUP(B541,[1]!Tabella_N_Assi[Indirizzo],[1]!Tabella_N_Assi[Tipo Mezzo Preferenziale],"non trovato")</f>
        <v>non trovato</v>
      </c>
      <c r="G541">
        <f>_xlfn.XLOOKUP(A541,[2]Sheet1!$A:$A,[2]Sheet1!$G:$G,"non trovato")</f>
        <v>41.864691899999997</v>
      </c>
      <c r="H541">
        <f>_xlfn.XLOOKUP(A541,[2]Sheet1!$A:$A,[2]Sheet1!$H:$H,"non trovato")</f>
        <v>12.472185700000001</v>
      </c>
    </row>
    <row r="542" spans="1:8" x14ac:dyDescent="0.25">
      <c r="A542" s="1" t="str">
        <v>500000176153</v>
      </c>
      <c r="B542" s="1" t="str">
        <f>_xlfn.XLOOKUP(A542,[1]!TabellaContenitori[PdR],[1]!TabellaContenitori[AET])</f>
        <v>FERMI</v>
      </c>
      <c r="C542" s="1" t="str">
        <f>_xlfn.XLOOKUP(A542,[1]!TabellaContenitori[PdR],[1]!TabellaContenitori[Numero civico])</f>
        <v>10</v>
      </c>
      <c r="D542" s="1" t="str">
        <f t="shared" si="16"/>
        <v>FERMI, 10, Roma</v>
      </c>
      <c r="E542" s="1" t="str">
        <f t="shared" si="17"/>
        <v>FERMI</v>
      </c>
      <c r="F542" s="1" t="str">
        <f>_xlfn.XLOOKUP(B542,[1]!Tabella_N_Assi[Indirizzo],[1]!Tabella_N_Assi[Tipo Mezzo Preferenziale],"non trovato")</f>
        <v>non trovato</v>
      </c>
      <c r="G542">
        <f>_xlfn.XLOOKUP(A542,[2]Sheet1!$A:$A,[2]Sheet1!$G:$G,"non trovato")</f>
        <v>41.871608899999998</v>
      </c>
      <c r="H542">
        <f>_xlfn.XLOOKUP(A542,[2]Sheet1!$A:$A,[2]Sheet1!$H:$H,"non trovato")</f>
        <v>12.470659299999999</v>
      </c>
    </row>
    <row r="543" spans="1:8" x14ac:dyDescent="0.25">
      <c r="A543" s="1" t="str">
        <v>500000019915</v>
      </c>
      <c r="B543" s="1" t="str">
        <f>_xlfn.XLOOKUP(A543,[1]!TabellaContenitori[PdR],[1]!TabellaContenitori[AET])</f>
        <v>MARCONI</v>
      </c>
      <c r="C543" s="1" t="str">
        <f>_xlfn.XLOOKUP(A543,[1]!TabellaContenitori[PdR],[1]!TabellaContenitori[Numero civico])</f>
        <v>23</v>
      </c>
      <c r="D543" s="1" t="str">
        <f t="shared" si="16"/>
        <v>MARCONI, 23, Roma</v>
      </c>
      <c r="E543" s="1" t="str">
        <f t="shared" si="17"/>
        <v>MARCONI</v>
      </c>
      <c r="F543" s="1" t="str">
        <f>_xlfn.XLOOKUP(B543,[1]!Tabella_N_Assi[Indirizzo],[1]!Tabella_N_Assi[Tipo Mezzo Preferenziale],"non trovato")</f>
        <v>non trovato</v>
      </c>
      <c r="G543">
        <f>_xlfn.XLOOKUP(A543,[2]Sheet1!$A:$A,[2]Sheet1!$G:$G,"non trovato")</f>
        <v>41.861465000000003</v>
      </c>
      <c r="H543">
        <f>_xlfn.XLOOKUP(A543,[2]Sheet1!$A:$A,[2]Sheet1!$H:$H,"non trovato")</f>
        <v>12.470048</v>
      </c>
    </row>
    <row r="544" spans="1:8" x14ac:dyDescent="0.25">
      <c r="A544" s="1" t="str">
        <v>500000047228</v>
      </c>
      <c r="B544" s="1" t="str">
        <f>_xlfn.XLOOKUP(A544,[1]!TabellaContenitori[PdR],[1]!TabellaContenitori[AET])</f>
        <v>FERMI</v>
      </c>
      <c r="C544" s="1" t="str">
        <f>_xlfn.XLOOKUP(A544,[1]!TabellaContenitori[PdR],[1]!TabellaContenitori[Numero civico])</f>
        <v>75</v>
      </c>
      <c r="D544" s="1" t="str">
        <f t="shared" si="16"/>
        <v>FERMI, 75, Roma</v>
      </c>
      <c r="E544" s="1" t="str">
        <f t="shared" si="17"/>
        <v>FERMI</v>
      </c>
      <c r="F544" s="1" t="str">
        <f>_xlfn.XLOOKUP(B544,[1]!Tabella_N_Assi[Indirizzo],[1]!Tabella_N_Assi[Tipo Mezzo Preferenziale],"non trovato")</f>
        <v>non trovato</v>
      </c>
      <c r="G544">
        <f>_xlfn.XLOOKUP(A544,[2]Sheet1!$A:$A,[2]Sheet1!$G:$G,"non trovato")</f>
        <v>41.864571099999999</v>
      </c>
      <c r="H544">
        <f>_xlfn.XLOOKUP(A544,[2]Sheet1!$A:$A,[2]Sheet1!$H:$H,"non trovato")</f>
        <v>12.472239800000001</v>
      </c>
    </row>
    <row r="545" spans="1:8" x14ac:dyDescent="0.25">
      <c r="A545" s="1" t="str">
        <v>500000069611</v>
      </c>
      <c r="B545" s="1" t="str">
        <f>_xlfn.XLOOKUP(A545,[1]!TabellaContenitori[PdR],[1]!TabellaContenitori[AET])</f>
        <v>MARCONI</v>
      </c>
      <c r="C545" s="1" t="str">
        <f>_xlfn.XLOOKUP(A545,[1]!TabellaContenitori[PdR],[1]!TabellaContenitori[Numero civico])</f>
        <v>54</v>
      </c>
      <c r="D545" s="1" t="str">
        <f t="shared" si="16"/>
        <v>MARCONI, 54, Roma</v>
      </c>
      <c r="E545" s="1" t="str">
        <f t="shared" si="17"/>
        <v>MARCONI</v>
      </c>
      <c r="F545" s="1" t="str">
        <f>_xlfn.XLOOKUP(B545,[1]!Tabella_N_Assi[Indirizzo],[1]!Tabella_N_Assi[Tipo Mezzo Preferenziale],"non trovato")</f>
        <v>non trovato</v>
      </c>
      <c r="G545">
        <f>_xlfn.XLOOKUP(A545,[2]Sheet1!$A:$A,[2]Sheet1!$G:$G,"non trovato")</f>
        <v>41.861012600000002</v>
      </c>
      <c r="H545">
        <f>_xlfn.XLOOKUP(A545,[2]Sheet1!$A:$A,[2]Sheet1!$H:$H,"non trovato")</f>
        <v>12.465145700000001</v>
      </c>
    </row>
    <row r="546" spans="1:8" x14ac:dyDescent="0.25">
      <c r="A546" s="1" t="str">
        <v>500000094008</v>
      </c>
      <c r="B546" s="1" t="str">
        <f>_xlfn.XLOOKUP(A546,[1]!TabellaContenitori[PdR],[1]!TabellaContenitori[AET])</f>
        <v>FERMI</v>
      </c>
      <c r="C546" s="1" t="str">
        <f>_xlfn.XLOOKUP(A546,[1]!TabellaContenitori[PdR],[1]!TabellaContenitori[Numero civico])</f>
        <v>149</v>
      </c>
      <c r="D546" s="1" t="str">
        <f t="shared" si="16"/>
        <v>FERMI, 149, Roma</v>
      </c>
      <c r="E546" s="1" t="str">
        <f t="shared" si="17"/>
        <v>FERMI</v>
      </c>
      <c r="F546" s="1" t="str">
        <f>_xlfn.XLOOKUP(B546,[1]!Tabella_N_Assi[Indirizzo],[1]!Tabella_N_Assi[Tipo Mezzo Preferenziale],"non trovato")</f>
        <v>non trovato</v>
      </c>
      <c r="G546">
        <f>_xlfn.XLOOKUP(A546,[2]Sheet1!$A:$A,[2]Sheet1!$G:$G,"non trovato")</f>
        <v>41.865532999999999</v>
      </c>
      <c r="H546">
        <f>_xlfn.XLOOKUP(A546,[2]Sheet1!$A:$A,[2]Sheet1!$H:$H,"non trovato")</f>
        <v>12.4750234</v>
      </c>
    </row>
    <row r="547" spans="1:8" x14ac:dyDescent="0.25">
      <c r="A547" s="1" t="str">
        <v>500000100775</v>
      </c>
      <c r="B547" s="1" t="str">
        <f>_xlfn.XLOOKUP(A547,[1]!TabellaContenitori[PdR],[1]!TabellaContenitori[AET])</f>
        <v>ODERISI DA GUBBIO</v>
      </c>
      <c r="C547" s="1" t="str">
        <f>_xlfn.XLOOKUP(A547,[1]!TabellaContenitori[PdR],[1]!TabellaContenitori[Numero civico])</f>
        <v>29</v>
      </c>
      <c r="D547" s="1" t="str">
        <f t="shared" si="16"/>
        <v>ODERISI DA GUBBIO, 29, Roma</v>
      </c>
      <c r="E547" s="1" t="str">
        <f t="shared" si="17"/>
        <v>ODERISI DA GUBBIO</v>
      </c>
      <c r="F547" s="1" t="str">
        <f>_xlfn.XLOOKUP(B547,[1]!Tabella_N_Assi[Indirizzo],[1]!Tabella_N_Assi[Tipo Mezzo Preferenziale],"non trovato")</f>
        <v>non trovato</v>
      </c>
      <c r="G547">
        <f>_xlfn.XLOOKUP(A547,[2]Sheet1!$A:$A,[2]Sheet1!$G:$G,"non trovato")</f>
        <v>41.870023699999997</v>
      </c>
      <c r="H547">
        <f>_xlfn.XLOOKUP(A547,[2]Sheet1!$A:$A,[2]Sheet1!$H:$H,"non trovato")</f>
        <v>12.4672248</v>
      </c>
    </row>
    <row r="548" spans="1:8" x14ac:dyDescent="0.25">
      <c r="A548" s="1" t="str">
        <v>500000125614</v>
      </c>
      <c r="B548" s="1" t="str">
        <f>_xlfn.XLOOKUP(A548,[1]!TabellaContenitori[PdR],[1]!TabellaContenitori[AET])</f>
        <v>MARCONI</v>
      </c>
      <c r="C548" s="1" t="str">
        <f>_xlfn.XLOOKUP(A548,[1]!TabellaContenitori[PdR],[1]!TabellaContenitori[Numero civico])</f>
        <v>20</v>
      </c>
      <c r="D548" s="1" t="str">
        <f t="shared" si="16"/>
        <v>MARCONI, 20, Roma</v>
      </c>
      <c r="E548" s="1" t="str">
        <f t="shared" si="17"/>
        <v>MARCONI</v>
      </c>
      <c r="F548" s="1" t="str">
        <f>_xlfn.XLOOKUP(B548,[1]!Tabella_N_Assi[Indirizzo],[1]!Tabella_N_Assi[Tipo Mezzo Preferenziale],"non trovato")</f>
        <v>non trovato</v>
      </c>
      <c r="G548">
        <f>_xlfn.XLOOKUP(A548,[2]Sheet1!$A:$A,[2]Sheet1!$G:$G,"non trovato")</f>
        <v>41.862491400000003</v>
      </c>
      <c r="H548">
        <f>_xlfn.XLOOKUP(A548,[2]Sheet1!$A:$A,[2]Sheet1!$H:$H,"non trovato")</f>
        <v>12.4672968</v>
      </c>
    </row>
    <row r="549" spans="1:8" x14ac:dyDescent="0.25">
      <c r="A549" s="1" t="str">
        <v>500000087658</v>
      </c>
      <c r="B549" s="1" t="str">
        <f>_xlfn.XLOOKUP(A549,[1]!TabellaContenitori[PdR],[1]!TabellaContenitori[AET])</f>
        <v>ODERISI DA GUBBIO</v>
      </c>
      <c r="C549" s="1" t="str">
        <f>_xlfn.XLOOKUP(A549,[1]!TabellaContenitori[PdR],[1]!TabellaContenitori[Numero civico])</f>
        <v>258</v>
      </c>
      <c r="D549" s="1" t="str">
        <f t="shared" si="16"/>
        <v>ODERISI DA GUBBIO, 258, Roma</v>
      </c>
      <c r="E549" s="1" t="str">
        <f t="shared" si="17"/>
        <v>ODERISI DA GUBBIO</v>
      </c>
      <c r="F549" s="1" t="str">
        <f>_xlfn.XLOOKUP(B549,[1]!Tabella_N_Assi[Indirizzo],[1]!Tabella_N_Assi[Tipo Mezzo Preferenziale],"non trovato")</f>
        <v>non trovato</v>
      </c>
      <c r="G549">
        <f>_xlfn.XLOOKUP(A549,[2]Sheet1!$A:$A,[2]Sheet1!$G:$G,"non trovato")</f>
        <v>41.8635965</v>
      </c>
      <c r="H549">
        <f>_xlfn.XLOOKUP(A549,[2]Sheet1!$A:$A,[2]Sheet1!$H:$H,"non trovato")</f>
        <v>12.464426700000001</v>
      </c>
    </row>
    <row r="550" spans="1:8" x14ac:dyDescent="0.25">
      <c r="A550" s="1" t="str">
        <v>500000205607</v>
      </c>
      <c r="B550" s="1" t="str">
        <f>_xlfn.XLOOKUP(A550,[1]!TabellaContenitori[PdR],[1]!TabellaContenitori[AET])</f>
        <v>FRATTINI</v>
      </c>
      <c r="C550" s="1" t="str">
        <f>_xlfn.XLOOKUP(A550,[1]!TabellaContenitori[PdR],[1]!TabellaContenitori[Numero civico])</f>
        <v>30</v>
      </c>
      <c r="D550" s="1" t="str">
        <f t="shared" si="16"/>
        <v>FRATTINI, 30, Roma</v>
      </c>
      <c r="E550" s="1" t="str">
        <f t="shared" si="17"/>
        <v>FRATTINI</v>
      </c>
      <c r="F550" s="1" t="str">
        <f>_xlfn.XLOOKUP(B550,[1]!Tabella_N_Assi[Indirizzo],[1]!Tabella_N_Assi[Tipo Mezzo Preferenziale],"non trovato")</f>
        <v>non trovato</v>
      </c>
      <c r="G550">
        <f>_xlfn.XLOOKUP(A550,[2]Sheet1!$A:$A,[2]Sheet1!$G:$G,"non trovato")</f>
        <v>41.854479699999999</v>
      </c>
      <c r="H550">
        <f>_xlfn.XLOOKUP(A550,[2]Sheet1!$A:$A,[2]Sheet1!$H:$H,"non trovato")</f>
        <v>12.450822499999999</v>
      </c>
    </row>
    <row r="551" spans="1:8" x14ac:dyDescent="0.25">
      <c r="A551" s="1" t="str">
        <v>500000047638</v>
      </c>
      <c r="B551" s="1" t="str">
        <f>_xlfn.XLOOKUP(A551,[1]!TabellaContenitori[PdR],[1]!TabellaContenitori[AET])</f>
        <v>VIGNA PIA</v>
      </c>
      <c r="C551" s="1" t="str">
        <f>_xlfn.XLOOKUP(A551,[1]!TabellaContenitori[PdR],[1]!TabellaContenitori[Numero civico])</f>
        <v>30</v>
      </c>
      <c r="D551" s="1" t="str">
        <f t="shared" si="16"/>
        <v>VIGNA PIA, 30, Roma</v>
      </c>
      <c r="E551" s="1" t="str">
        <f t="shared" si="17"/>
        <v>VIGNA PIA</v>
      </c>
      <c r="F551" s="1" t="str">
        <f>_xlfn.XLOOKUP(B551,[1]!Tabella_N_Assi[Indirizzo],[1]!Tabella_N_Assi[Tipo Mezzo Preferenziale],"non trovato")</f>
        <v>non trovato</v>
      </c>
      <c r="G551">
        <f>_xlfn.XLOOKUP(A551,[2]Sheet1!$A:$A,[2]Sheet1!$G:$G,"non trovato")</f>
        <v>41.861187999999999</v>
      </c>
      <c r="H551">
        <f>_xlfn.XLOOKUP(A551,[2]Sheet1!$A:$A,[2]Sheet1!$H:$H,"non trovato")</f>
        <v>12.4532439</v>
      </c>
    </row>
    <row r="552" spans="1:8" x14ac:dyDescent="0.25">
      <c r="A552" s="1" t="str">
        <v>500000160239</v>
      </c>
      <c r="B552" s="1" t="str">
        <f>_xlfn.XLOOKUP(A552,[1]!TabellaContenitori[PdR],[1]!TabellaContenitori[AET])</f>
        <v>FRATTINI</v>
      </c>
      <c r="C552" s="1" t="str">
        <f>_xlfn.XLOOKUP(A552,[1]!TabellaContenitori[PdR],[1]!TabellaContenitori[Numero civico])</f>
        <v>41</v>
      </c>
      <c r="D552" s="1" t="str">
        <f t="shared" si="16"/>
        <v>FRATTINI, 41, Roma</v>
      </c>
      <c r="E552" s="1" t="str">
        <f t="shared" si="17"/>
        <v>FRATTINI</v>
      </c>
      <c r="F552" s="1" t="str">
        <f>_xlfn.XLOOKUP(B552,[1]!Tabella_N_Assi[Indirizzo],[1]!Tabella_N_Assi[Tipo Mezzo Preferenziale],"non trovato")</f>
        <v>non trovato</v>
      </c>
      <c r="G552">
        <f>_xlfn.XLOOKUP(A552,[2]Sheet1!$A:$A,[2]Sheet1!$G:$G,"non trovato")</f>
        <v>41.849237199999997</v>
      </c>
      <c r="H552">
        <f>_xlfn.XLOOKUP(A552,[2]Sheet1!$A:$A,[2]Sheet1!$H:$H,"non trovato")</f>
        <v>12.4471019</v>
      </c>
    </row>
    <row r="553" spans="1:8" x14ac:dyDescent="0.25">
      <c r="A553" s="1" t="str">
        <v>500000124495</v>
      </c>
      <c r="B553" s="1" t="str">
        <f>_xlfn.XLOOKUP(A553,[1]!TabellaContenitori[PdR],[1]!TabellaContenitori[AET])</f>
        <v>VIGNA PIA</v>
      </c>
      <c r="C553" s="1" t="str">
        <f>_xlfn.XLOOKUP(A553,[1]!TabellaContenitori[PdR],[1]!TabellaContenitori[Numero civico])</f>
        <v>121</v>
      </c>
      <c r="D553" s="1" t="str">
        <f t="shared" si="16"/>
        <v>VIGNA PIA, 121, Roma</v>
      </c>
      <c r="E553" s="1" t="str">
        <f t="shared" si="17"/>
        <v>VIGNA PIA</v>
      </c>
      <c r="F553" s="1" t="str">
        <f>_xlfn.XLOOKUP(B553,[1]!Tabella_N_Assi[Indirizzo],[1]!Tabella_N_Assi[Tipo Mezzo Preferenziale],"non trovato")</f>
        <v>non trovato</v>
      </c>
      <c r="G553">
        <f>_xlfn.XLOOKUP(A553,[2]Sheet1!$A:$A,[2]Sheet1!$G:$G,"non trovato")</f>
        <v>41.863396600000002</v>
      </c>
      <c r="H553">
        <f>_xlfn.XLOOKUP(A553,[2]Sheet1!$A:$A,[2]Sheet1!$H:$H,"non trovato")</f>
        <v>12.4591963</v>
      </c>
    </row>
    <row r="554" spans="1:8" x14ac:dyDescent="0.25">
      <c r="A554" s="1" t="str">
        <v>500000093893</v>
      </c>
      <c r="B554" s="1" t="str">
        <f>_xlfn.XLOOKUP(A554,[1]!TabellaContenitori[PdR],[1]!TabellaContenitori[AET])</f>
        <v>VIGNA PIA</v>
      </c>
      <c r="C554" s="1" t="str">
        <f>_xlfn.XLOOKUP(A554,[1]!TabellaContenitori[PdR],[1]!TabellaContenitori[Numero civico])</f>
        <v>35</v>
      </c>
      <c r="D554" s="1" t="str">
        <f t="shared" si="16"/>
        <v>VIGNA PIA, 35, Roma</v>
      </c>
      <c r="E554" s="1" t="str">
        <f t="shared" si="17"/>
        <v>VIGNA PIA</v>
      </c>
      <c r="F554" s="1" t="str">
        <f>_xlfn.XLOOKUP(B554,[1]!Tabella_N_Assi[Indirizzo],[1]!Tabella_N_Assi[Tipo Mezzo Preferenziale],"non trovato")</f>
        <v>non trovato</v>
      </c>
      <c r="G554">
        <f>_xlfn.XLOOKUP(A554,[2]Sheet1!$A:$A,[2]Sheet1!$G:$G,"non trovato")</f>
        <v>41.8597283</v>
      </c>
      <c r="H554">
        <f>_xlfn.XLOOKUP(A554,[2]Sheet1!$A:$A,[2]Sheet1!$H:$H,"non trovato")</f>
        <v>12.457281200000001</v>
      </c>
    </row>
    <row r="555" spans="1:8" x14ac:dyDescent="0.25">
      <c r="A555" s="1" t="str">
        <v>500000099773</v>
      </c>
      <c r="B555" s="1" t="str">
        <f>_xlfn.XLOOKUP(A555,[1]!TabellaContenitori[PdR],[1]!TabellaContenitori[AET])</f>
        <v>FRATTINI</v>
      </c>
      <c r="C555" s="1" t="str">
        <f>_xlfn.XLOOKUP(A555,[1]!TabellaContenitori[PdR],[1]!TabellaContenitori[Numero civico])</f>
        <v>46</v>
      </c>
      <c r="D555" s="1" t="str">
        <f t="shared" si="16"/>
        <v>FRATTINI, 46, Roma</v>
      </c>
      <c r="E555" s="1" t="str">
        <f t="shared" si="17"/>
        <v>FRATTINI</v>
      </c>
      <c r="F555" s="1" t="str">
        <f>_xlfn.XLOOKUP(B555,[1]!Tabella_N_Assi[Indirizzo],[1]!Tabella_N_Assi[Tipo Mezzo Preferenziale],"non trovato")</f>
        <v>non trovato</v>
      </c>
      <c r="G555">
        <f>_xlfn.XLOOKUP(A555,[2]Sheet1!$A:$A,[2]Sheet1!$G:$G,"non trovato")</f>
        <v>41.855813499999996</v>
      </c>
      <c r="H555">
        <f>_xlfn.XLOOKUP(A555,[2]Sheet1!$A:$A,[2]Sheet1!$H:$H,"non trovato")</f>
        <v>12.450601900000001</v>
      </c>
    </row>
    <row r="556" spans="1:8" x14ac:dyDescent="0.25">
      <c r="A556" s="1" t="str">
        <v>500000097803</v>
      </c>
      <c r="B556" s="1" t="str">
        <f>_xlfn.XLOOKUP(A556,[1]!TabellaContenitori[PdR],[1]!TabellaContenitori[AET])</f>
        <v>PORTUENSE</v>
      </c>
      <c r="C556" s="1" t="str">
        <f>_xlfn.XLOOKUP(A556,[1]!TabellaContenitori[PdR],[1]!TabellaContenitori[Numero civico])</f>
        <v>489</v>
      </c>
      <c r="D556" s="1" t="str">
        <f t="shared" si="16"/>
        <v>PORTUENSE, 489, Roma</v>
      </c>
      <c r="E556" s="1" t="str">
        <f t="shared" si="17"/>
        <v>PORTUENSE</v>
      </c>
      <c r="F556" s="1" t="str">
        <f>_xlfn.XLOOKUP(B556,[1]!Tabella_N_Assi[Indirizzo],[1]!Tabella_N_Assi[Tipo Mezzo Preferenziale],"non trovato")</f>
        <v>non trovato</v>
      </c>
      <c r="G556">
        <f>_xlfn.XLOOKUP(A556,[2]Sheet1!$A:$A,[2]Sheet1!$G:$G,"non trovato")</f>
        <v>41.870518400000002</v>
      </c>
      <c r="H556">
        <f>_xlfn.XLOOKUP(A556,[2]Sheet1!$A:$A,[2]Sheet1!$H:$H,"non trovato")</f>
        <v>12.4653882</v>
      </c>
    </row>
    <row r="557" spans="1:8" x14ac:dyDescent="0.25">
      <c r="A557" s="1" t="str">
        <v>500000026385</v>
      </c>
      <c r="B557" s="1" t="str">
        <f>_xlfn.XLOOKUP(A557,[1]!TabellaContenitori[PdR],[1]!TabellaContenitori[AET])</f>
        <v>FRATTINI</v>
      </c>
      <c r="C557" s="1" t="str">
        <f>_xlfn.XLOOKUP(A557,[1]!TabellaContenitori[PdR],[1]!TabellaContenitori[Numero civico])</f>
        <v>2</v>
      </c>
      <c r="D557" s="1" t="str">
        <f t="shared" si="16"/>
        <v>FRATTINI, 2, Roma</v>
      </c>
      <c r="E557" s="1" t="str">
        <f t="shared" si="17"/>
        <v>FRATTINI</v>
      </c>
      <c r="F557" s="1" t="str">
        <f>_xlfn.XLOOKUP(B557,[1]!Tabella_N_Assi[Indirizzo],[1]!Tabella_N_Assi[Tipo Mezzo Preferenziale],"non trovato")</f>
        <v>non trovato</v>
      </c>
      <c r="G557">
        <f>_xlfn.XLOOKUP(A557,[2]Sheet1!$A:$A,[2]Sheet1!$G:$G,"non trovato")</f>
        <v>41.849945400000003</v>
      </c>
      <c r="H557">
        <f>_xlfn.XLOOKUP(A557,[2]Sheet1!$A:$A,[2]Sheet1!$H:$H,"non trovato")</f>
        <v>12.452703</v>
      </c>
    </row>
    <row r="558" spans="1:8" x14ac:dyDescent="0.25">
      <c r="A558" s="1" t="str">
        <v>500000066430</v>
      </c>
      <c r="B558" s="1" t="str">
        <f>_xlfn.XLOOKUP(A558,[1]!TabellaContenitori[PdR],[1]!TabellaContenitori[AET])</f>
        <v>FRATTINI</v>
      </c>
      <c r="C558" s="1" t="str">
        <f>_xlfn.XLOOKUP(A558,[1]!TabellaContenitori[PdR],[1]!TabellaContenitori[Numero civico])</f>
        <v>82</v>
      </c>
      <c r="D558" s="1" t="str">
        <f t="shared" si="16"/>
        <v>FRATTINI, 82, Roma</v>
      </c>
      <c r="E558" s="1" t="str">
        <f t="shared" si="17"/>
        <v>FRATTINI</v>
      </c>
      <c r="F558" s="1" t="str">
        <f>_xlfn.XLOOKUP(B558,[1]!Tabella_N_Assi[Indirizzo],[1]!Tabella_N_Assi[Tipo Mezzo Preferenziale],"non trovato")</f>
        <v>non trovato</v>
      </c>
      <c r="G558">
        <f>_xlfn.XLOOKUP(A558,[2]Sheet1!$A:$A,[2]Sheet1!$G:$G,"non trovato")</f>
        <v>41.855439699999998</v>
      </c>
      <c r="H558">
        <f>_xlfn.XLOOKUP(A558,[2]Sheet1!$A:$A,[2]Sheet1!$H:$H,"non trovato")</f>
        <v>12.4485481</v>
      </c>
    </row>
    <row r="559" spans="1:8" x14ac:dyDescent="0.25">
      <c r="A559" s="1" t="str">
        <v>500000075919</v>
      </c>
      <c r="B559" s="1" t="str">
        <f>_xlfn.XLOOKUP(A559,[1]!TabellaContenitori[PdR],[1]!TabellaContenitori[AET])</f>
        <v>MAGLIANA</v>
      </c>
      <c r="C559" s="1" t="str">
        <f>_xlfn.XLOOKUP(A559,[1]!TabellaContenitori[PdR],[1]!TabellaContenitori[Numero civico])</f>
        <v>261</v>
      </c>
      <c r="D559" s="1" t="str">
        <f t="shared" si="16"/>
        <v>MAGLIANA, 261, Roma</v>
      </c>
      <c r="E559" s="1" t="str">
        <f t="shared" si="17"/>
        <v>MAGLIANA</v>
      </c>
      <c r="F559" s="1" t="str">
        <f>_xlfn.XLOOKUP(B559,[1]!Tabella_N_Assi[Indirizzo],[1]!Tabella_N_Assi[Tipo Mezzo Preferenziale],"non trovato")</f>
        <v>non trovato</v>
      </c>
      <c r="G559">
        <f>_xlfn.XLOOKUP(A559,[2]Sheet1!$A:$A,[2]Sheet1!$G:$G,"non trovato")</f>
        <v>41.821498800000001</v>
      </c>
      <c r="H559">
        <f>_xlfn.XLOOKUP(A559,[2]Sheet1!$A:$A,[2]Sheet1!$H:$H,"non trovato")</f>
        <v>12.394792799999999</v>
      </c>
    </row>
    <row r="560" spans="1:8" x14ac:dyDescent="0.25">
      <c r="A560" s="1" t="str">
        <v>500000075921</v>
      </c>
      <c r="B560" s="1" t="str">
        <f>_xlfn.XLOOKUP(A560,[1]!TabellaContenitori[PdR],[1]!TabellaContenitori[AET])</f>
        <v>MAGLIANA</v>
      </c>
      <c r="C560" s="1" t="str">
        <f>_xlfn.XLOOKUP(A560,[1]!TabellaContenitori[PdR],[1]!TabellaContenitori[Numero civico])</f>
        <v>278</v>
      </c>
      <c r="D560" s="1" t="str">
        <f t="shared" si="16"/>
        <v>MAGLIANA, 278, Roma</v>
      </c>
      <c r="E560" s="1" t="str">
        <f t="shared" si="17"/>
        <v>MAGLIANA</v>
      </c>
      <c r="F560" s="1" t="str">
        <f>_xlfn.XLOOKUP(B560,[1]!Tabella_N_Assi[Indirizzo],[1]!Tabella_N_Assi[Tipo Mezzo Preferenziale],"non trovato")</f>
        <v>non trovato</v>
      </c>
      <c r="G560">
        <f>_xlfn.XLOOKUP(A560,[2]Sheet1!$A:$A,[2]Sheet1!$G:$G,"non trovato")</f>
        <v>41.821498800000001</v>
      </c>
      <c r="H560">
        <f>_xlfn.XLOOKUP(A560,[2]Sheet1!$A:$A,[2]Sheet1!$H:$H,"non trovato")</f>
        <v>12.394792799999999</v>
      </c>
    </row>
    <row r="561" spans="1:8" x14ac:dyDescent="0.25">
      <c r="A561" s="1" t="str">
        <v>500000070895</v>
      </c>
      <c r="B561" s="1" t="str">
        <f>_xlfn.XLOOKUP(A561,[1]!TabellaContenitori[PdR],[1]!TabellaContenitori[AET])</f>
        <v>MAGLIANA NUOVA</v>
      </c>
      <c r="C561" s="1" t="str">
        <f>_xlfn.XLOOKUP(A561,[1]!TabellaContenitori[PdR],[1]!TabellaContenitori[Numero civico])</f>
        <v>80</v>
      </c>
      <c r="D561" s="1" t="str">
        <f t="shared" si="16"/>
        <v>MAGLIANA NUOVA, 80, Roma</v>
      </c>
      <c r="E561" s="1" t="str">
        <f t="shared" si="17"/>
        <v>MAGLIANA NUOVA</v>
      </c>
      <c r="F561" s="1" t="str">
        <f>_xlfn.XLOOKUP(B561,[1]!Tabella_N_Assi[Indirizzo],[1]!Tabella_N_Assi[Tipo Mezzo Preferenziale],"non trovato")</f>
        <v>non trovato</v>
      </c>
      <c r="G561">
        <f>_xlfn.XLOOKUP(A561,[2]Sheet1!$A:$A,[2]Sheet1!$G:$G,"non trovato")</f>
        <v>41.849196999999997</v>
      </c>
      <c r="H561">
        <f>_xlfn.XLOOKUP(A561,[2]Sheet1!$A:$A,[2]Sheet1!$H:$H,"non trovato")</f>
        <v>12.4611974</v>
      </c>
    </row>
    <row r="562" spans="1:8" x14ac:dyDescent="0.25">
      <c r="A562" s="1" t="str">
        <v>500000083206</v>
      </c>
      <c r="B562" s="1" t="str">
        <f>_xlfn.XLOOKUP(A562,[1]!TabellaContenitori[PdR],[1]!TabellaContenitori[AET])</f>
        <v>TRULLO - MONTE CUCCO</v>
      </c>
      <c r="C562" s="1" t="str">
        <f>_xlfn.XLOOKUP(A562,[1]!TabellaContenitori[PdR],[1]!TabellaContenitori[Numero civico])</f>
        <v>25</v>
      </c>
      <c r="D562" s="1" t="str">
        <f t="shared" si="16"/>
        <v>TRULLO - MONTE CUCCO, 25, Roma</v>
      </c>
      <c r="E562" s="1" t="str">
        <f t="shared" si="17"/>
        <v>TRULLO - MONTE CUCCO</v>
      </c>
      <c r="F562" s="1" t="str">
        <f>_xlfn.XLOOKUP(B562,[1]!Tabella_N_Assi[Indirizzo],[1]!Tabella_N_Assi[Tipo Mezzo Preferenziale],"non trovato")</f>
        <v>non trovato</v>
      </c>
      <c r="G562">
        <f>_xlfn.XLOOKUP(A562,[2]Sheet1!$A:$A,[2]Sheet1!$G:$G,"non trovato")</f>
        <v>41.844543299999998</v>
      </c>
      <c r="H562">
        <f>_xlfn.XLOOKUP(A562,[2]Sheet1!$A:$A,[2]Sheet1!$H:$H,"non trovato")</f>
        <v>12.4381301</v>
      </c>
    </row>
    <row r="563" spans="1:8" x14ac:dyDescent="0.25">
      <c r="A563" s="1" t="str">
        <v>500000159078</v>
      </c>
      <c r="B563" s="1" t="str">
        <f>_xlfn.XLOOKUP(A563,[1]!TabellaContenitori[PdR],[1]!TabellaContenitori[AET])</f>
        <v>TRULLO - MONTE CUCCO</v>
      </c>
      <c r="C563" s="1" t="str">
        <f>_xlfn.XLOOKUP(A563,[1]!TabellaContenitori[PdR],[1]!TabellaContenitori[Numero civico])</f>
        <v>47</v>
      </c>
      <c r="D563" s="1" t="str">
        <f t="shared" si="16"/>
        <v>TRULLO - MONTE CUCCO, 47, Roma</v>
      </c>
      <c r="E563" s="1" t="str">
        <f t="shared" si="17"/>
        <v>TRULLO - MONTE CUCCO</v>
      </c>
      <c r="F563" s="1" t="str">
        <f>_xlfn.XLOOKUP(B563,[1]!Tabella_N_Assi[Indirizzo],[1]!Tabella_N_Assi[Tipo Mezzo Preferenziale],"non trovato")</f>
        <v>non trovato</v>
      </c>
      <c r="G563">
        <f>_xlfn.XLOOKUP(A563,[2]Sheet1!$A:$A,[2]Sheet1!$G:$G,"non trovato")</f>
        <v>41.848308400000001</v>
      </c>
      <c r="H563">
        <f>_xlfn.XLOOKUP(A563,[2]Sheet1!$A:$A,[2]Sheet1!$H:$H,"non trovato")</f>
        <v>12.4460753</v>
      </c>
    </row>
    <row r="564" spans="1:8" x14ac:dyDescent="0.25">
      <c r="A564" s="1" t="str">
        <v>500000074463</v>
      </c>
      <c r="B564" s="1" t="str">
        <f>_xlfn.XLOOKUP(A564,[1]!TabellaContenitori[PdR],[1]!TabellaContenitori[AET])</f>
        <v>TRULLO - MONTE CUCCO</v>
      </c>
      <c r="C564" s="1" t="str">
        <f>_xlfn.XLOOKUP(A564,[1]!TabellaContenitori[PdR],[1]!TabellaContenitori[Numero civico])</f>
        <v>41</v>
      </c>
      <c r="D564" s="1" t="str">
        <f t="shared" si="16"/>
        <v>TRULLO - MONTE CUCCO, 41, Roma</v>
      </c>
      <c r="E564" s="1" t="str">
        <f t="shared" si="17"/>
        <v>TRULLO - MONTE CUCCO</v>
      </c>
      <c r="F564" s="1" t="str">
        <f>_xlfn.XLOOKUP(B564,[1]!Tabella_N_Assi[Indirizzo],[1]!Tabella_N_Assi[Tipo Mezzo Preferenziale],"non trovato")</f>
        <v>non trovato</v>
      </c>
      <c r="G564">
        <f>_xlfn.XLOOKUP(A564,[2]Sheet1!$A:$A,[2]Sheet1!$G:$G,"non trovato")</f>
        <v>41.853195200000002</v>
      </c>
      <c r="H564">
        <f>_xlfn.XLOOKUP(A564,[2]Sheet1!$A:$A,[2]Sheet1!$H:$H,"non trovato")</f>
        <v>12.445499399999999</v>
      </c>
    </row>
    <row r="565" spans="1:8" x14ac:dyDescent="0.25">
      <c r="A565" s="1" t="str">
        <v>500000063738</v>
      </c>
      <c r="B565" s="1" t="str">
        <f>_xlfn.XLOOKUP(A565,[1]!TabellaContenitori[PdR],[1]!TabellaContenitori[AET])</f>
        <v>TRULLO - MONTE CUCCO</v>
      </c>
      <c r="C565" s="1" t="str">
        <f>_xlfn.XLOOKUP(A565,[1]!TabellaContenitori[PdR],[1]!TabellaContenitori[Numero civico])</f>
        <v>120</v>
      </c>
      <c r="D565" s="1" t="str">
        <f t="shared" si="16"/>
        <v>TRULLO - MONTE CUCCO, 120, Roma</v>
      </c>
      <c r="E565" s="1" t="str">
        <f t="shared" si="17"/>
        <v>TRULLO - MONTE CUCCO</v>
      </c>
      <c r="F565" s="1" t="str">
        <f>_xlfn.XLOOKUP(B565,[1]!Tabella_N_Assi[Indirizzo],[1]!Tabella_N_Assi[Tipo Mezzo Preferenziale],"non trovato")</f>
        <v>non trovato</v>
      </c>
      <c r="G565">
        <f>_xlfn.XLOOKUP(A565,[2]Sheet1!$A:$A,[2]Sheet1!$G:$G,"non trovato")</f>
        <v>41.842198699999997</v>
      </c>
      <c r="H565">
        <f>_xlfn.XLOOKUP(A565,[2]Sheet1!$A:$A,[2]Sheet1!$H:$H,"non trovato")</f>
        <v>12.441648199999999</v>
      </c>
    </row>
    <row r="566" spans="1:8" x14ac:dyDescent="0.25">
      <c r="A566" s="1" t="str">
        <v>500000120353</v>
      </c>
      <c r="B566" s="1" t="str">
        <f>_xlfn.XLOOKUP(A566,[1]!TabellaContenitori[PdR],[1]!TabellaContenitori[AET])</f>
        <v>TRULLO - MONTE CUCCO</v>
      </c>
      <c r="C566" s="1" t="str">
        <f>_xlfn.XLOOKUP(A566,[1]!TabellaContenitori[PdR],[1]!TabellaContenitori[Numero civico])</f>
        <v>431</v>
      </c>
      <c r="D566" s="1" t="str">
        <f t="shared" si="16"/>
        <v>TRULLO - MONTE CUCCO, 431, Roma</v>
      </c>
      <c r="E566" s="1" t="str">
        <f t="shared" si="17"/>
        <v>TRULLO - MONTE CUCCO</v>
      </c>
      <c r="F566" s="1" t="str">
        <f>_xlfn.XLOOKUP(B566,[1]!Tabella_N_Assi[Indirizzo],[1]!Tabella_N_Assi[Tipo Mezzo Preferenziale],"non trovato")</f>
        <v>non trovato</v>
      </c>
      <c r="G566">
        <f>_xlfn.XLOOKUP(A566,[2]Sheet1!$A:$A,[2]Sheet1!$G:$G,"non trovato")</f>
        <v>41.8431517</v>
      </c>
      <c r="H566">
        <f>_xlfn.XLOOKUP(A566,[2]Sheet1!$A:$A,[2]Sheet1!$H:$H,"non trovato")</f>
        <v>12.436747499999999</v>
      </c>
    </row>
    <row r="567" spans="1:8" x14ac:dyDescent="0.25">
      <c r="A567" s="1" t="str">
        <v>500000205373</v>
      </c>
      <c r="B567" s="1" t="str">
        <f>_xlfn.XLOOKUP(A567,[1]!TabellaContenitori[PdR],[1]!TabellaContenitori[AET])</f>
        <v>FRATTINI</v>
      </c>
      <c r="C567" s="1" t="str">
        <f>_xlfn.XLOOKUP(A567,[1]!TabellaContenitori[PdR],[1]!TabellaContenitori[Numero civico])</f>
        <v>41</v>
      </c>
      <c r="D567" s="1" t="str">
        <f t="shared" si="16"/>
        <v>FRATTINI, 41, Roma</v>
      </c>
      <c r="E567" s="1" t="str">
        <f t="shared" si="17"/>
        <v>FRATTINI</v>
      </c>
      <c r="F567" s="1" t="str">
        <f>_xlfn.XLOOKUP(B567,[1]!Tabella_N_Assi[Indirizzo],[1]!Tabella_N_Assi[Tipo Mezzo Preferenziale],"non trovato")</f>
        <v>non trovato</v>
      </c>
      <c r="G567">
        <f>_xlfn.XLOOKUP(A567,[2]Sheet1!$A:$A,[2]Sheet1!$G:$G,"non trovato")</f>
        <v>41.855439699999998</v>
      </c>
      <c r="H567">
        <f>_xlfn.XLOOKUP(A567,[2]Sheet1!$A:$A,[2]Sheet1!$H:$H,"non trovato")</f>
        <v>12.4485481</v>
      </c>
    </row>
    <row r="568" spans="1:8" x14ac:dyDescent="0.25">
      <c r="A568" s="1" t="str">
        <v>500000032918</v>
      </c>
      <c r="B568" s="1" t="str">
        <f>_xlfn.XLOOKUP(A568,[1]!TabellaContenitori[PdR],[1]!TabellaContenitori[AET])</f>
        <v>CASETTA MATTEI</v>
      </c>
      <c r="C568" s="1" t="str">
        <f>_xlfn.XLOOKUP(A568,[1]!TabellaContenitori[PdR],[1]!TabellaContenitori[Numero civico])</f>
        <v>221</v>
      </c>
      <c r="D568" s="1" t="str">
        <f t="shared" si="16"/>
        <v>CASETTA MATTEI, 221, Roma</v>
      </c>
      <c r="E568" s="1" t="str">
        <f t="shared" si="17"/>
        <v>CASETTA MATTEI</v>
      </c>
      <c r="F568" s="1" t="str">
        <f>_xlfn.XLOOKUP(B568,[1]!Tabella_N_Assi[Indirizzo],[1]!Tabella_N_Assi[Tipo Mezzo Preferenziale],"non trovato")</f>
        <v>non trovato</v>
      </c>
      <c r="G568">
        <f>_xlfn.XLOOKUP(A568,[2]Sheet1!$A:$A,[2]Sheet1!$G:$G,"non trovato")</f>
        <v>41.859758599999999</v>
      </c>
      <c r="H568">
        <f>_xlfn.XLOOKUP(A568,[2]Sheet1!$A:$A,[2]Sheet1!$H:$H,"non trovato")</f>
        <v>12.419367100000001</v>
      </c>
    </row>
    <row r="569" spans="1:8" x14ac:dyDescent="0.25">
      <c r="A569" s="1" t="str">
        <v>500000150190</v>
      </c>
      <c r="B569" s="1" t="str">
        <f>_xlfn.XLOOKUP(A569,[1]!TabellaContenitori[PdR],[1]!TabellaContenitori[AET])</f>
        <v>CASETTA MATTEI</v>
      </c>
      <c r="C569" s="1" t="str">
        <f>_xlfn.XLOOKUP(A569,[1]!TabellaContenitori[PdR],[1]!TabellaContenitori[Numero civico])</f>
        <v>16</v>
      </c>
      <c r="D569" s="1" t="str">
        <f t="shared" si="16"/>
        <v>CASETTA MATTEI, 16, Roma</v>
      </c>
      <c r="E569" s="1" t="str">
        <f t="shared" si="17"/>
        <v>CASETTA MATTEI</v>
      </c>
      <c r="F569" s="1" t="str">
        <f>_xlfn.XLOOKUP(B569,[1]!Tabella_N_Assi[Indirizzo],[1]!Tabella_N_Assi[Tipo Mezzo Preferenziale],"non trovato")</f>
        <v>non trovato</v>
      </c>
      <c r="G569">
        <f>_xlfn.XLOOKUP(A569,[2]Sheet1!$A:$A,[2]Sheet1!$G:$G,"non trovato")</f>
        <v>41.856881700000002</v>
      </c>
      <c r="H569">
        <f>_xlfn.XLOOKUP(A569,[2]Sheet1!$A:$A,[2]Sheet1!$H:$H,"non trovato")</f>
        <v>12.4290529</v>
      </c>
    </row>
    <row r="570" spans="1:8" x14ac:dyDescent="0.25">
      <c r="A570" s="1" t="str">
        <v>500000038831</v>
      </c>
      <c r="B570" s="1" t="str">
        <f>_xlfn.XLOOKUP(A570,[1]!TabellaContenitori[PdR],[1]!TabellaContenitori[AET])</f>
        <v>TRULLO - MONTE DELLE CAPRE</v>
      </c>
      <c r="C570" s="1" t="str">
        <f>_xlfn.XLOOKUP(A570,[1]!TabellaContenitori[PdR],[1]!TabellaContenitori[Numero civico])</f>
        <v>22</v>
      </c>
      <c r="D570" s="1" t="str">
        <f t="shared" si="16"/>
        <v>TRULLO - MONTE DELLE CAPRE, 22, Roma</v>
      </c>
      <c r="E570" s="1" t="str">
        <f t="shared" si="17"/>
        <v>TRULLO - MONTE DELLE CAPRE</v>
      </c>
      <c r="F570" s="1" t="str">
        <f>_xlfn.XLOOKUP(B570,[1]!Tabella_N_Assi[Indirizzo],[1]!Tabella_N_Assi[Tipo Mezzo Preferenziale],"non trovato")</f>
        <v>non trovato</v>
      </c>
      <c r="G570">
        <f>_xlfn.XLOOKUP(A570,[2]Sheet1!$A:$A,[2]Sheet1!$G:$G,"non trovato")</f>
        <v>41.838455099999997</v>
      </c>
      <c r="H570">
        <f>_xlfn.XLOOKUP(A570,[2]Sheet1!$A:$A,[2]Sheet1!$H:$H,"non trovato")</f>
        <v>12.420400600000001</v>
      </c>
    </row>
    <row r="571" spans="1:8" x14ac:dyDescent="0.25">
      <c r="A571" s="1" t="str">
        <v>500000038829</v>
      </c>
      <c r="B571" s="1" t="str">
        <f>_xlfn.XLOOKUP(A571,[1]!TabellaContenitori[PdR],[1]!TabellaContenitori[AET])</f>
        <v>TRULLO - MONTE DELLE CAPRE</v>
      </c>
      <c r="C571" s="1" t="str">
        <f>_xlfn.XLOOKUP(A571,[1]!TabellaContenitori[PdR],[1]!TabellaContenitori[Numero civico])</f>
        <v>4</v>
      </c>
      <c r="D571" s="1" t="str">
        <f t="shared" si="16"/>
        <v>TRULLO - MONTE DELLE CAPRE, 4, Roma</v>
      </c>
      <c r="E571" s="1" t="str">
        <f t="shared" si="17"/>
        <v>TRULLO - MONTE DELLE CAPRE</v>
      </c>
      <c r="F571" s="1" t="str">
        <f>_xlfn.XLOOKUP(B571,[1]!Tabella_N_Assi[Indirizzo],[1]!Tabella_N_Assi[Tipo Mezzo Preferenziale],"non trovato")</f>
        <v>non trovato</v>
      </c>
      <c r="G571">
        <f>_xlfn.XLOOKUP(A571,[2]Sheet1!$A:$A,[2]Sheet1!$G:$G,"non trovato")</f>
        <v>41.838455099999997</v>
      </c>
      <c r="H571">
        <f>_xlfn.XLOOKUP(A571,[2]Sheet1!$A:$A,[2]Sheet1!$H:$H,"non trovato")</f>
        <v>12.420400600000001</v>
      </c>
    </row>
    <row r="572" spans="1:8" x14ac:dyDescent="0.25">
      <c r="A572" s="1" t="str">
        <v>500000134762</v>
      </c>
      <c r="B572" s="1" t="str">
        <f>_xlfn.XLOOKUP(A572,[1]!TabellaContenitori[PdR],[1]!TabellaContenitori[AET])</f>
        <v>TRULLO - MONTE DELLE CAPRE</v>
      </c>
      <c r="C572" s="1" t="str">
        <f>_xlfn.XLOOKUP(A572,[1]!TabellaContenitori[PdR],[1]!TabellaContenitori[Numero civico])</f>
        <v>71</v>
      </c>
      <c r="D572" s="1" t="str">
        <f t="shared" si="16"/>
        <v>TRULLO - MONTE DELLE CAPRE, 71, Roma</v>
      </c>
      <c r="E572" s="1" t="str">
        <f t="shared" si="17"/>
        <v>TRULLO - MONTE DELLE CAPRE</v>
      </c>
      <c r="F572" s="1" t="str">
        <f>_xlfn.XLOOKUP(B572,[1]!Tabella_N_Assi[Indirizzo],[1]!Tabella_N_Assi[Tipo Mezzo Preferenziale],"non trovato")</f>
        <v>non trovato</v>
      </c>
      <c r="G572">
        <f>_xlfn.XLOOKUP(A572,[2]Sheet1!$A:$A,[2]Sheet1!$G:$G,"non trovato")</f>
        <v>41.836736500000001</v>
      </c>
      <c r="H572">
        <f>_xlfn.XLOOKUP(A572,[2]Sheet1!$A:$A,[2]Sheet1!$H:$H,"non trovato")</f>
        <v>12.4262792</v>
      </c>
    </row>
    <row r="573" spans="1:8" x14ac:dyDescent="0.25">
      <c r="A573" s="1" t="str">
        <v>500000027331</v>
      </c>
      <c r="B573" s="1" t="str">
        <f>_xlfn.XLOOKUP(A573,[1]!TabellaContenitori[PdR],[1]!TabellaContenitori[AET])</f>
        <v>CASETTA MATTEI</v>
      </c>
      <c r="C573" s="1" t="str">
        <f>_xlfn.XLOOKUP(A573,[1]!TabellaContenitori[PdR],[1]!TabellaContenitori[Numero civico])</f>
        <v>39</v>
      </c>
      <c r="D573" s="1" t="str">
        <f t="shared" si="16"/>
        <v>CASETTA MATTEI, 39, Roma</v>
      </c>
      <c r="E573" s="1" t="str">
        <f t="shared" si="17"/>
        <v>CASETTA MATTEI</v>
      </c>
      <c r="F573" s="1" t="str">
        <f>_xlfn.XLOOKUP(B573,[1]!Tabella_N_Assi[Indirizzo],[1]!Tabella_N_Assi[Tipo Mezzo Preferenziale],"non trovato")</f>
        <v>non trovato</v>
      </c>
      <c r="G573">
        <f>_xlfn.XLOOKUP(A573,[2]Sheet1!$A:$A,[2]Sheet1!$G:$G,"non trovato")</f>
        <v>41.8562826</v>
      </c>
      <c r="H573">
        <f>_xlfn.XLOOKUP(A573,[2]Sheet1!$A:$A,[2]Sheet1!$H:$H,"non trovato")</f>
        <v>12.422466399999999</v>
      </c>
    </row>
    <row r="574" spans="1:8" x14ac:dyDescent="0.25">
      <c r="A574" s="1" t="str">
        <v>500000010205</v>
      </c>
      <c r="B574" s="1" t="str">
        <f>_xlfn.XLOOKUP(A574,[1]!TabellaContenitori[PdR],[1]!TabellaContenitori[AET])</f>
        <v>CASETTA MATTEI</v>
      </c>
      <c r="C574" s="1" t="str">
        <f>_xlfn.XLOOKUP(A574,[1]!TabellaContenitori[PdR],[1]!TabellaContenitori[Numero civico])</f>
        <v>64</v>
      </c>
      <c r="D574" s="1" t="str">
        <f t="shared" si="16"/>
        <v>CASETTA MATTEI, 64, Roma</v>
      </c>
      <c r="E574" s="1" t="str">
        <f t="shared" si="17"/>
        <v>CASETTA MATTEI</v>
      </c>
      <c r="F574" s="1" t="str">
        <f>_xlfn.XLOOKUP(B574,[1]!Tabella_N_Assi[Indirizzo],[1]!Tabella_N_Assi[Tipo Mezzo Preferenziale],"non trovato")</f>
        <v>non trovato</v>
      </c>
      <c r="G574">
        <f>_xlfn.XLOOKUP(A574,[2]Sheet1!$A:$A,[2]Sheet1!$G:$G,"non trovato")</f>
        <v>41.85998</v>
      </c>
      <c r="H574">
        <f>_xlfn.XLOOKUP(A574,[2]Sheet1!$A:$A,[2]Sheet1!$H:$H,"non trovato")</f>
        <v>12.434444600000001</v>
      </c>
    </row>
    <row r="575" spans="1:8" x14ac:dyDescent="0.25">
      <c r="A575" s="1" t="str">
        <v>500000097882</v>
      </c>
      <c r="B575" s="1" t="str">
        <f>_xlfn.XLOOKUP(A575,[1]!TabellaContenitori[PdR],[1]!TabellaContenitori[AET])</f>
        <v>CORVIALE</v>
      </c>
      <c r="C575" s="1" t="str">
        <f>_xlfn.XLOOKUP(A575,[1]!TabellaContenitori[PdR],[1]!TabellaContenitori[Numero civico])</f>
        <v>811</v>
      </c>
      <c r="D575" s="1" t="str">
        <f t="shared" si="16"/>
        <v>CORVIALE, 811, Roma</v>
      </c>
      <c r="E575" s="1" t="str">
        <f t="shared" si="17"/>
        <v>CORVIALE</v>
      </c>
      <c r="F575" s="1" t="str">
        <f>_xlfn.XLOOKUP(B575,[1]!Tabella_N_Assi[Indirizzo],[1]!Tabella_N_Assi[Tipo Mezzo Preferenziale],"non trovato")</f>
        <v>non trovato</v>
      </c>
      <c r="G575">
        <f>_xlfn.XLOOKUP(A575,[2]Sheet1!$A:$A,[2]Sheet1!$G:$G,"non trovato")</f>
        <v>41.870518400000002</v>
      </c>
      <c r="H575">
        <f>_xlfn.XLOOKUP(A575,[2]Sheet1!$A:$A,[2]Sheet1!$H:$H,"non trovato")</f>
        <v>12.4653882</v>
      </c>
    </row>
    <row r="576" spans="1:8" x14ac:dyDescent="0.25">
      <c r="A576" s="1" t="str">
        <v>500000130443</v>
      </c>
      <c r="B576" s="1" t="str">
        <f>_xlfn.XLOOKUP(A576,[1]!TabellaContenitori[PdR],[1]!TabellaContenitori[AET])</f>
        <v>PARCO DE' MEDICI</v>
      </c>
      <c r="C576" s="1" t="str">
        <f>_xlfn.XLOOKUP(A576,[1]!TabellaContenitori[PdR],[1]!TabellaContenitori[Numero civico])</f>
        <v>28</v>
      </c>
      <c r="D576" s="1" t="str">
        <f t="shared" si="16"/>
        <v>PARCO DE' MEDICI, 28, Roma</v>
      </c>
      <c r="E576" s="1" t="str">
        <f t="shared" si="17"/>
        <v>PARCO DE' MEDICI</v>
      </c>
      <c r="F576" s="1" t="str">
        <f>_xlfn.XLOOKUP(B576,[1]!Tabella_N_Assi[Indirizzo],[1]!Tabella_N_Assi[Tipo Mezzo Preferenziale],"non trovato")</f>
        <v>non trovato</v>
      </c>
      <c r="G576">
        <f>_xlfn.XLOOKUP(A576,[2]Sheet1!$A:$A,[2]Sheet1!$G:$G,"non trovato")</f>
        <v>41.823333099999999</v>
      </c>
      <c r="H576">
        <f>_xlfn.XLOOKUP(A576,[2]Sheet1!$A:$A,[2]Sheet1!$H:$H,"non trovato")</f>
        <v>12.4139968</v>
      </c>
    </row>
    <row r="577" spans="1:8" x14ac:dyDescent="0.25">
      <c r="A577" s="1" t="str">
        <v>500000098090</v>
      </c>
      <c r="B577" s="1" t="str">
        <f>_xlfn.XLOOKUP(A577,[1]!TabellaContenitori[PdR],[1]!TabellaContenitori[AET])</f>
        <v>PONTE GALERIA - PIANA DEL SOL</v>
      </c>
      <c r="C577" s="1" t="str">
        <f>_xlfn.XLOOKUP(A577,[1]!TabellaContenitori[PdR],[1]!TabellaContenitori[Numero civico])</f>
        <v>1680</v>
      </c>
      <c r="D577" s="1" t="str">
        <f t="shared" si="16"/>
        <v>PONTE GALERIA - PIANA DEL SOL, 1680, Roma</v>
      </c>
      <c r="E577" s="1" t="str">
        <f t="shared" si="17"/>
        <v>PONTE GALERIA - PIANA DEL SOL</v>
      </c>
      <c r="F577" s="1" t="str">
        <f>_xlfn.XLOOKUP(B577,[1]!Tabella_N_Assi[Indirizzo],[1]!Tabella_N_Assi[Tipo Mezzo Preferenziale],"non trovato")</f>
        <v>non trovato</v>
      </c>
      <c r="G577">
        <f>_xlfn.XLOOKUP(A577,[2]Sheet1!$A:$A,[2]Sheet1!$G:$G,"non trovato")</f>
        <v>41.870518400000002</v>
      </c>
      <c r="H577">
        <f>_xlfn.XLOOKUP(A577,[2]Sheet1!$A:$A,[2]Sheet1!$H:$H,"non trovato")</f>
        <v>12.4653882</v>
      </c>
    </row>
    <row r="578" spans="1:8" x14ac:dyDescent="0.25">
      <c r="A578" s="1" t="str">
        <v>500000075947</v>
      </c>
      <c r="B578" s="1" t="str">
        <f>_xlfn.XLOOKUP(A578,[1]!TabellaContenitori[PdR],[1]!TabellaContenitori[AET])</f>
        <v>PARCO DE' MEDICI</v>
      </c>
      <c r="C578" s="1" t="str">
        <f>_xlfn.XLOOKUP(A578,[1]!TabellaContenitori[PdR],[1]!TabellaContenitori[Numero civico])</f>
        <v>561</v>
      </c>
      <c r="D578" s="1" t="str">
        <f t="shared" si="16"/>
        <v>PARCO DE' MEDICI, 561, Roma</v>
      </c>
      <c r="E578" s="1" t="str">
        <f t="shared" si="17"/>
        <v>PARCO DE' MEDICI</v>
      </c>
      <c r="F578" s="1" t="str">
        <f>_xlfn.XLOOKUP(B578,[1]!Tabella_N_Assi[Indirizzo],[1]!Tabella_N_Assi[Tipo Mezzo Preferenziale],"non trovato")</f>
        <v>non trovato</v>
      </c>
      <c r="G578">
        <f>_xlfn.XLOOKUP(A578,[2]Sheet1!$A:$A,[2]Sheet1!$G:$G,"non trovato")</f>
        <v>41.821498800000001</v>
      </c>
      <c r="H578">
        <f>_xlfn.XLOOKUP(A578,[2]Sheet1!$A:$A,[2]Sheet1!$H:$H,"non trovato")</f>
        <v>12.394792799999999</v>
      </c>
    </row>
    <row r="579" spans="1:8" x14ac:dyDescent="0.25">
      <c r="A579" s="1" t="str">
        <v>500000173021</v>
      </c>
      <c r="B579" s="1" t="str">
        <f>_xlfn.XLOOKUP(A579,[1]!TabellaContenitori[PdR],[1]!TabellaContenitori[AET])</f>
        <v>PONTE GALERIA - PIANA DEL SOL</v>
      </c>
      <c r="C579" s="1" t="str">
        <f>_xlfn.XLOOKUP(A579,[1]!TabellaContenitori[PdR],[1]!TabellaContenitori[Numero civico])</f>
        <v>42</v>
      </c>
      <c r="D579" s="1" t="str">
        <f t="shared" ref="D579:D583" si="18">CONCATENATE(B579,", ",C579,", Roma")</f>
        <v>PONTE GALERIA - PIANA DEL SOL, 42, Roma</v>
      </c>
      <c r="E579" s="1" t="str">
        <f t="shared" ref="E579:E583" si="19">_xlfn.TEXTBEFORE(D579,",")</f>
        <v>PONTE GALERIA - PIANA DEL SOL</v>
      </c>
      <c r="F579" s="1" t="str">
        <f>_xlfn.XLOOKUP(B579,[1]!Tabella_N_Assi[Indirizzo],[1]!Tabella_N_Assi[Tipo Mezzo Preferenziale],"non trovato")</f>
        <v>non trovato</v>
      </c>
      <c r="G579">
        <f>_xlfn.XLOOKUP(A579,[2]Sheet1!$A:$A,[2]Sheet1!$G:$G,"non trovato")</f>
        <v>41.828956900000001</v>
      </c>
      <c r="H579">
        <f>_xlfn.XLOOKUP(A579,[2]Sheet1!$A:$A,[2]Sheet1!$H:$H,"non trovato")</f>
        <v>12.3935312</v>
      </c>
    </row>
    <row r="580" spans="1:8" x14ac:dyDescent="0.25">
      <c r="A580" s="1" t="str">
        <v>500000173021</v>
      </c>
      <c r="B580" s="1" t="str">
        <f>_xlfn.XLOOKUP(A580,[1]!TabellaContenitori[PdR],[1]!TabellaContenitori[AET])</f>
        <v>PONTE GALERIA - PIANA DEL SOL</v>
      </c>
      <c r="C580" s="1" t="str">
        <f>_xlfn.XLOOKUP(A580,[1]!TabellaContenitori[PdR],[1]!TabellaContenitori[Numero civico])</f>
        <v>42</v>
      </c>
      <c r="D580" s="1" t="str">
        <f t="shared" si="18"/>
        <v>PONTE GALERIA - PIANA DEL SOL, 42, Roma</v>
      </c>
      <c r="E580" s="1" t="str">
        <f t="shared" si="19"/>
        <v>PONTE GALERIA - PIANA DEL SOL</v>
      </c>
      <c r="F580" s="1" t="str">
        <f>_xlfn.XLOOKUP(B580,[1]!Tabella_N_Assi[Indirizzo],[1]!Tabella_N_Assi[Tipo Mezzo Preferenziale],"non trovato")</f>
        <v>non trovato</v>
      </c>
      <c r="G580">
        <f>_xlfn.XLOOKUP(A580,[2]Sheet1!$A:$A,[2]Sheet1!$G:$G,"non trovato")</f>
        <v>41.828956900000001</v>
      </c>
      <c r="H580">
        <f>_xlfn.XLOOKUP(A580,[2]Sheet1!$A:$A,[2]Sheet1!$H:$H,"non trovato")</f>
        <v>12.3935312</v>
      </c>
    </row>
    <row r="581" spans="1:8" x14ac:dyDescent="0.25">
      <c r="A581" s="1" t="str">
        <v>500000261107</v>
      </c>
      <c r="B581" s="1" t="str">
        <f>_xlfn.XLOOKUP(A581,[1]!TabellaContenitori[PdR],[1]!TabellaContenitori[AET])</f>
        <v>CASETTA MATTEI</v>
      </c>
      <c r="C581" s="1" t="str">
        <f>_xlfn.XLOOKUP(A581,[1]!TabellaContenitori[PdR],[1]!TabellaContenitori[Numero civico])</f>
        <v>7</v>
      </c>
      <c r="D581" s="1" t="str">
        <f t="shared" si="18"/>
        <v>CASETTA MATTEI, 7, Roma</v>
      </c>
      <c r="E581" s="1" t="str">
        <f t="shared" si="19"/>
        <v>CASETTA MATTEI</v>
      </c>
      <c r="F581" s="1" t="str">
        <f>_xlfn.XLOOKUP(B581,[1]!Tabella_N_Assi[Indirizzo],[1]!Tabella_N_Assi[Tipo Mezzo Preferenziale],"non trovato")</f>
        <v>non trovato</v>
      </c>
      <c r="G581">
        <f>_xlfn.XLOOKUP(A581,[2]Sheet1!$A:$A,[2]Sheet1!$G:$G,"non trovato")</f>
        <v>41.856881700000002</v>
      </c>
      <c r="H581">
        <f>_xlfn.XLOOKUP(A581,[2]Sheet1!$A:$A,[2]Sheet1!$H:$H,"non trovato")</f>
        <v>12.4290529</v>
      </c>
    </row>
    <row r="582" spans="1:8" x14ac:dyDescent="0.25">
      <c r="A582" s="1" t="str">
        <v>500000173021</v>
      </c>
      <c r="B582" s="1" t="str">
        <f>_xlfn.XLOOKUP(A582,[1]!TabellaContenitori[PdR],[1]!TabellaContenitori[AET])</f>
        <v>PONTE GALERIA - PIANA DEL SOL</v>
      </c>
      <c r="C582" s="1" t="str">
        <f>_xlfn.XLOOKUP(A582,[1]!TabellaContenitori[PdR],[1]!TabellaContenitori[Numero civico])</f>
        <v>42</v>
      </c>
      <c r="D582" s="1" t="str">
        <f t="shared" si="18"/>
        <v>PONTE GALERIA - PIANA DEL SOL, 42, Roma</v>
      </c>
      <c r="E582" s="1" t="str">
        <f t="shared" si="19"/>
        <v>PONTE GALERIA - PIANA DEL SOL</v>
      </c>
      <c r="F582" s="1" t="str">
        <f>_xlfn.XLOOKUP(B582,[1]!Tabella_N_Assi[Indirizzo],[1]!Tabella_N_Assi[Tipo Mezzo Preferenziale],"non trovato")</f>
        <v>non trovato</v>
      </c>
      <c r="G582">
        <f>_xlfn.XLOOKUP(A582,[2]Sheet1!$A:$A,[2]Sheet1!$G:$G,"non trovato")</f>
        <v>41.828956900000001</v>
      </c>
      <c r="H582">
        <f>_xlfn.XLOOKUP(A582,[2]Sheet1!$A:$A,[2]Sheet1!$H:$H,"non trovato")</f>
        <v>12.3935312</v>
      </c>
    </row>
    <row r="583" spans="1:8" x14ac:dyDescent="0.25">
      <c r="A583" s="1" t="str">
        <v>500000205666</v>
      </c>
      <c r="B583" s="1" t="str">
        <f>_xlfn.XLOOKUP(A583,[1]!TabellaContenitori[PdR],[1]!TabellaContenitori[AET])</f>
        <v>FRATTINI</v>
      </c>
      <c r="C583" s="1" t="str">
        <f>_xlfn.XLOOKUP(A583,[1]!TabellaContenitori[PdR],[1]!TabellaContenitori[Numero civico])</f>
        <v>50</v>
      </c>
      <c r="D583" s="1" t="str">
        <f t="shared" si="18"/>
        <v>FRATTINI, 50, Roma</v>
      </c>
      <c r="E583" s="1" t="str">
        <f t="shared" si="19"/>
        <v>FRATTINI</v>
      </c>
      <c r="F583" s="1" t="str">
        <f>_xlfn.XLOOKUP(B583,[1]!Tabella_N_Assi[Indirizzo],[1]!Tabella_N_Assi[Tipo Mezzo Preferenziale],"non trovato")</f>
        <v>non trovato</v>
      </c>
      <c r="G583">
        <f>_xlfn.XLOOKUP(A583,[2]Sheet1!$A:$A,[2]Sheet1!$G:$G,"non trovato")</f>
        <v>41.855439699999998</v>
      </c>
      <c r="H583">
        <f>_xlfn.XLOOKUP(A583,[2]Sheet1!$A:$A,[2]Sheet1!$H:$H,"non trovato")</f>
        <v>12.4485481</v>
      </c>
    </row>
  </sheetData>
  <autoFilter ref="C1:H583" xr:uid="{B20C687A-601A-490D-B3AC-AA1DEA851E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8102-0867-4DD3-AE4B-FC29B822C030}">
  <dimension ref="A1"/>
  <sheetViews>
    <sheetView workbookViewId="0">
      <selection sqref="A1:XFD7"/>
    </sheetView>
  </sheetViews>
  <sheetFormatPr defaultRowHeight="15" x14ac:dyDescent="0.25"/>
  <cols>
    <col min="1" max="1" width="27.85546875" bestFit="1" customWidth="1"/>
    <col min="2" max="2" width="6" bestFit="1" customWidth="1"/>
    <col min="3" max="3" width="40.42578125" bestFit="1" customWidth="1"/>
    <col min="4" max="4" width="27.85546875" bestFit="1" customWidth="1"/>
    <col min="5" max="5" width="3.140625" bestFit="1" customWidth="1"/>
    <col min="6" max="6" width="15.7109375" bestFit="1" customWidth="1"/>
    <col min="7" max="7" width="11.5703125" bestFit="1" customWidth="1"/>
    <col min="8" max="9" width="15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Maurizio2 Mancini</cp:lastModifiedBy>
  <cp:revision>1</cp:revision>
  <dcterms:created xsi:type="dcterms:W3CDTF">2026-01-09T10:03:48Z</dcterms:created>
  <dcterms:modified xsi:type="dcterms:W3CDTF">2026-01-15T15:09:10Z</dcterms:modified>
  <cp:category/>
</cp:coreProperties>
</file>